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6F325F7104C4EC/文档/My PDF/"/>
    </mc:Choice>
  </mc:AlternateContent>
  <xr:revisionPtr revIDLastSave="2383" documentId="8_{3237884B-C3F2-4BD9-A32B-200FD54575D1}" xr6:coauthVersionLast="47" xr6:coauthVersionMax="47" xr10:uidLastSave="{041F32C3-5C94-4227-B276-D60A556303BC}"/>
  <bookViews>
    <workbookView xWindow="-120" yWindow="-120" windowWidth="29040" windowHeight="15720" activeTab="1" xr2:uid="{00000000-000D-0000-FFFF-FFFF00000000}"/>
  </bookViews>
  <sheets>
    <sheet name="Financials&gt;" sheetId="7" r:id="rId1"/>
    <sheet name="HistoricalFS" sheetId="8" r:id="rId2"/>
    <sheet name="Ratio Analysis" sheetId="11" r:id="rId3"/>
    <sheet name="Forecasting" sheetId="12" r:id="rId4"/>
    <sheet name="Common Size Statement" sheetId="19" r:id="rId5"/>
    <sheet name="DCF&gt;" sheetId="14" r:id="rId6"/>
    <sheet name="WACC" sheetId="13" r:id="rId7"/>
    <sheet name="Intrisic Growth" sheetId="22" r:id="rId8"/>
    <sheet name="DCF" sheetId="23" r:id="rId9"/>
    <sheet name="DCF Data&gt;" sheetId="15" r:id="rId10"/>
    <sheet name="Bata - Regression" sheetId="16" r:id="rId11"/>
    <sheet name="Rm" sheetId="18" r:id="rId12"/>
    <sheet name="Beta Comps" sheetId="17" r:id="rId13"/>
    <sheet name="Data DCF" sheetId="9" r:id="rId14"/>
    <sheet name="Cash Flow Data" sheetId="10" r:id="rId15"/>
    <sheet name="Raw FS" sheetId="21" r:id="rId16"/>
    <sheet name="Data Room&gt;" sheetId="20" r:id="rId17"/>
    <sheet name="Data Sheet" sheetId="6" r:id="rId18"/>
  </sheets>
  <definedNames>
    <definedName name="_xlnm._FilterDatabase" localSheetId="10" hidden="1">'Bata - Regression'!$BR$6:$BT$66</definedName>
    <definedName name="_xlnm._FilterDatabase" localSheetId="13" hidden="1">'Data DCF'!$F$2:$G$63</definedName>
    <definedName name="_xlnm._FilterDatabase" localSheetId="11" hidden="1">Rm!$B$4:$C$30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Z12" i="16" l="1"/>
  <c r="K33" i="13"/>
  <c r="K24" i="13"/>
  <c r="K25" i="13"/>
  <c r="K37" i="13"/>
  <c r="K43" i="13"/>
  <c r="E14" i="12"/>
  <c r="D14" i="12"/>
  <c r="D31" i="23"/>
  <c r="D35" i="23"/>
  <c r="D38" i="23"/>
  <c r="D41" i="23"/>
  <c r="D30" i="23"/>
  <c r="D21" i="23"/>
  <c r="D24" i="23"/>
  <c r="I44" i="22"/>
  <c r="J44" i="22" s="1"/>
  <c r="K44" i="22" s="1"/>
  <c r="H44" i="22"/>
  <c r="BZ18" i="16"/>
  <c r="BI15" i="16" l="1"/>
  <c r="BI16" i="16"/>
  <c r="BI18" i="16"/>
  <c r="BI6" i="16" s="1"/>
  <c r="BI12" i="16" s="1"/>
  <c r="B2" i="8"/>
  <c r="D36" i="23"/>
  <c r="D34" i="23"/>
  <c r="D33" i="23"/>
  <c r="D22" i="23"/>
  <c r="G9" i="23"/>
  <c r="F5" i="23"/>
  <c r="G5" i="23" s="1"/>
  <c r="H5" i="23" s="1"/>
  <c r="I5" i="23" s="1"/>
  <c r="J5" i="23" s="1"/>
  <c r="E4" i="23"/>
  <c r="E6" i="23" s="1"/>
  <c r="K40" i="22"/>
  <c r="J40" i="22"/>
  <c r="I40" i="22"/>
  <c r="H40" i="22"/>
  <c r="G40" i="22"/>
  <c r="K33" i="22"/>
  <c r="K43" i="22" s="1"/>
  <c r="K45" i="22" s="1"/>
  <c r="J33" i="22"/>
  <c r="I33" i="22"/>
  <c r="H33" i="22"/>
  <c r="G33" i="22"/>
  <c r="G43" i="22" s="1"/>
  <c r="G45" i="22" s="1"/>
  <c r="K29" i="22"/>
  <c r="J29" i="22"/>
  <c r="I29" i="22"/>
  <c r="H29" i="22"/>
  <c r="G29" i="22"/>
  <c r="K27" i="22"/>
  <c r="J27" i="22"/>
  <c r="I27" i="22"/>
  <c r="H27" i="22"/>
  <c r="G27" i="22"/>
  <c r="K26" i="22"/>
  <c r="J26" i="22"/>
  <c r="I26" i="22"/>
  <c r="H26" i="22"/>
  <c r="G26" i="22"/>
  <c r="K25" i="22"/>
  <c r="J25" i="22"/>
  <c r="I25" i="22"/>
  <c r="H25" i="22"/>
  <c r="G25" i="22"/>
  <c r="K24" i="22"/>
  <c r="J24" i="22"/>
  <c r="I24" i="22"/>
  <c r="H24" i="22"/>
  <c r="G24" i="22"/>
  <c r="K23" i="22"/>
  <c r="J23" i="22"/>
  <c r="I23" i="22"/>
  <c r="H23" i="22"/>
  <c r="G23" i="22"/>
  <c r="K22" i="22"/>
  <c r="J22" i="22"/>
  <c r="I22" i="22"/>
  <c r="H22" i="22"/>
  <c r="G22" i="22"/>
  <c r="K21" i="22"/>
  <c r="J21" i="22"/>
  <c r="I21" i="22"/>
  <c r="H21" i="22"/>
  <c r="G21" i="22"/>
  <c r="K20" i="22"/>
  <c r="J20" i="22"/>
  <c r="I20" i="22"/>
  <c r="H20" i="22"/>
  <c r="G20" i="22"/>
  <c r="K19" i="22"/>
  <c r="J19" i="22"/>
  <c r="I19" i="22"/>
  <c r="H19" i="22"/>
  <c r="G19" i="22"/>
  <c r="B27" i="22"/>
  <c r="B26" i="22"/>
  <c r="B25" i="22"/>
  <c r="B24" i="22"/>
  <c r="B23" i="22"/>
  <c r="B22" i="22"/>
  <c r="B21" i="22"/>
  <c r="B20" i="22"/>
  <c r="B19" i="22"/>
  <c r="K13" i="22"/>
  <c r="J13" i="22"/>
  <c r="I13" i="22"/>
  <c r="H13" i="22"/>
  <c r="G13" i="22"/>
  <c r="K12" i="22"/>
  <c r="J12" i="22"/>
  <c r="I12" i="22"/>
  <c r="H12" i="22"/>
  <c r="G12" i="22"/>
  <c r="K11" i="22"/>
  <c r="J11" i="22"/>
  <c r="I11" i="22"/>
  <c r="H11" i="22"/>
  <c r="G11" i="22"/>
  <c r="B13" i="22"/>
  <c r="B12" i="22"/>
  <c r="B11" i="22"/>
  <c r="K7" i="22"/>
  <c r="J7" i="22"/>
  <c r="I7" i="22"/>
  <c r="H7" i="22"/>
  <c r="K6" i="22"/>
  <c r="J6" i="22"/>
  <c r="I6" i="22"/>
  <c r="H6" i="22"/>
  <c r="K5" i="22"/>
  <c r="J5" i="22"/>
  <c r="I5" i="22"/>
  <c r="H5" i="22"/>
  <c r="G7" i="22"/>
  <c r="G6" i="22"/>
  <c r="G5" i="22"/>
  <c r="B7" i="22"/>
  <c r="B6" i="22"/>
  <c r="B5" i="22"/>
  <c r="K2" i="22"/>
  <c r="K38" i="22" s="1"/>
  <c r="K54" i="22" s="1"/>
  <c r="J2" i="22"/>
  <c r="J38" i="22" s="1"/>
  <c r="J54" i="22" s="1"/>
  <c r="I2" i="22"/>
  <c r="I38" i="22" s="1"/>
  <c r="I54" i="22" s="1"/>
  <c r="H2" i="22"/>
  <c r="H38" i="22" s="1"/>
  <c r="H54" i="22" s="1"/>
  <c r="G2" i="22"/>
  <c r="G38" i="22" s="1"/>
  <c r="G54" i="22" s="1"/>
  <c r="N28" i="21"/>
  <c r="M28" i="21"/>
  <c r="L28" i="21"/>
  <c r="K28" i="21"/>
  <c r="J28" i="21"/>
  <c r="I28" i="21"/>
  <c r="H28" i="21"/>
  <c r="G28" i="21"/>
  <c r="F28" i="21"/>
  <c r="E28" i="21"/>
  <c r="D28" i="21"/>
  <c r="C28" i="21"/>
  <c r="L28" i="19"/>
  <c r="K28" i="19"/>
  <c r="J28" i="19"/>
  <c r="I28" i="19"/>
  <c r="H28" i="19"/>
  <c r="G28" i="19"/>
  <c r="F28" i="19"/>
  <c r="E28" i="19"/>
  <c r="D28" i="19"/>
  <c r="L37" i="19"/>
  <c r="K37" i="19"/>
  <c r="J37" i="19"/>
  <c r="I37" i="19"/>
  <c r="H37" i="19"/>
  <c r="G37" i="19"/>
  <c r="F37" i="19"/>
  <c r="E37" i="19"/>
  <c r="D37" i="19"/>
  <c r="C37" i="19"/>
  <c r="K74" i="6"/>
  <c r="J74" i="6"/>
  <c r="I74" i="6"/>
  <c r="H74" i="6"/>
  <c r="G74" i="6"/>
  <c r="F74" i="6"/>
  <c r="E74" i="6"/>
  <c r="D74" i="6"/>
  <c r="C74" i="6"/>
  <c r="B74" i="6"/>
  <c r="J38" i="19"/>
  <c r="I38" i="19"/>
  <c r="K36" i="19"/>
  <c r="E36" i="19"/>
  <c r="J34" i="19"/>
  <c r="I34" i="19"/>
  <c r="F34" i="19"/>
  <c r="C39" i="19"/>
  <c r="C40" i="19"/>
  <c r="J33" i="19"/>
  <c r="I33" i="19"/>
  <c r="K76" i="6"/>
  <c r="L40" i="19" s="1"/>
  <c r="J76" i="6"/>
  <c r="K40" i="19" s="1"/>
  <c r="I76" i="6"/>
  <c r="J40" i="19" s="1"/>
  <c r="H76" i="6"/>
  <c r="I40" i="19" s="1"/>
  <c r="G76" i="6"/>
  <c r="H34" i="19" s="1"/>
  <c r="F76" i="6"/>
  <c r="G35" i="19" s="1"/>
  <c r="E76" i="6"/>
  <c r="F36" i="19" s="1"/>
  <c r="D76" i="6"/>
  <c r="C76" i="6"/>
  <c r="D38" i="19" s="1"/>
  <c r="B76" i="6"/>
  <c r="L31" i="19"/>
  <c r="K31" i="19"/>
  <c r="J31" i="19"/>
  <c r="I31" i="19"/>
  <c r="H31" i="19"/>
  <c r="G31" i="19"/>
  <c r="F31" i="19"/>
  <c r="E31" i="19"/>
  <c r="D31" i="19"/>
  <c r="L30" i="19"/>
  <c r="K30" i="19"/>
  <c r="J30" i="19"/>
  <c r="I30" i="19"/>
  <c r="H30" i="19"/>
  <c r="G30" i="19"/>
  <c r="F30" i="19"/>
  <c r="E30" i="19"/>
  <c r="D30" i="19"/>
  <c r="L29" i="19"/>
  <c r="K29" i="19"/>
  <c r="J29" i="19"/>
  <c r="I29" i="19"/>
  <c r="H29" i="19"/>
  <c r="G29" i="19"/>
  <c r="F29" i="19"/>
  <c r="E29" i="19"/>
  <c r="D29" i="19"/>
  <c r="C31" i="19"/>
  <c r="C30" i="19"/>
  <c r="C28" i="19"/>
  <c r="C29" i="19"/>
  <c r="L27" i="19"/>
  <c r="K27" i="19"/>
  <c r="J27" i="19"/>
  <c r="I27" i="19"/>
  <c r="H27" i="19"/>
  <c r="G27" i="19"/>
  <c r="F27" i="19"/>
  <c r="E27" i="19"/>
  <c r="D27" i="19"/>
  <c r="C27" i="19"/>
  <c r="L25" i="19"/>
  <c r="K25" i="19"/>
  <c r="J25" i="19"/>
  <c r="I25" i="19"/>
  <c r="H25" i="19"/>
  <c r="G25" i="19"/>
  <c r="F25" i="19"/>
  <c r="E25" i="19"/>
  <c r="D25" i="19"/>
  <c r="C25" i="19"/>
  <c r="B40" i="19"/>
  <c r="B39" i="19"/>
  <c r="B38" i="19"/>
  <c r="B37" i="19"/>
  <c r="B36" i="19"/>
  <c r="B35" i="19"/>
  <c r="B34" i="19"/>
  <c r="B31" i="19"/>
  <c r="B30" i="19"/>
  <c r="B29" i="19"/>
  <c r="B28" i="19"/>
  <c r="B2" i="19"/>
  <c r="B23" i="19"/>
  <c r="K21" i="19"/>
  <c r="J21" i="19"/>
  <c r="C21" i="19"/>
  <c r="K33" i="6"/>
  <c r="L21" i="19" s="1"/>
  <c r="J33" i="6"/>
  <c r="I33" i="6"/>
  <c r="H33" i="6"/>
  <c r="I21" i="19" s="1"/>
  <c r="G33" i="6"/>
  <c r="H21" i="19" s="1"/>
  <c r="F33" i="6"/>
  <c r="G21" i="19" s="1"/>
  <c r="E33" i="6"/>
  <c r="F21" i="19" s="1"/>
  <c r="D33" i="6"/>
  <c r="E21" i="19" s="1"/>
  <c r="C33" i="6"/>
  <c r="D21" i="19" s="1"/>
  <c r="B33" i="6"/>
  <c r="L20" i="19"/>
  <c r="K20" i="19"/>
  <c r="J20" i="19"/>
  <c r="I20" i="19"/>
  <c r="H20" i="19"/>
  <c r="G20" i="19"/>
  <c r="F20" i="19"/>
  <c r="E20" i="19"/>
  <c r="D20" i="19"/>
  <c r="C20" i="19"/>
  <c r="L19" i="19"/>
  <c r="K19" i="19"/>
  <c r="J19" i="19"/>
  <c r="I19" i="19"/>
  <c r="H19" i="19"/>
  <c r="G19" i="19"/>
  <c r="F19" i="19"/>
  <c r="E19" i="19"/>
  <c r="D19" i="19"/>
  <c r="C19" i="19"/>
  <c r="L18" i="19"/>
  <c r="K18" i="19"/>
  <c r="J18" i="19"/>
  <c r="I18" i="19"/>
  <c r="H18" i="19"/>
  <c r="G18" i="19"/>
  <c r="F18" i="19"/>
  <c r="E18" i="19"/>
  <c r="D18" i="19"/>
  <c r="C18" i="19"/>
  <c r="L17" i="19"/>
  <c r="K17" i="19"/>
  <c r="J17" i="19"/>
  <c r="I17" i="19"/>
  <c r="H17" i="19"/>
  <c r="G17" i="19"/>
  <c r="F17" i="19"/>
  <c r="E17" i="19"/>
  <c r="D17" i="19"/>
  <c r="C17" i="19"/>
  <c r="L16" i="19"/>
  <c r="K16" i="19"/>
  <c r="J16" i="19"/>
  <c r="I16" i="19"/>
  <c r="H16" i="19"/>
  <c r="G16" i="19"/>
  <c r="F16" i="19"/>
  <c r="E16" i="19"/>
  <c r="D16" i="19"/>
  <c r="C16" i="19"/>
  <c r="L15" i="19"/>
  <c r="K15" i="19"/>
  <c r="J15" i="19"/>
  <c r="I15" i="19"/>
  <c r="H15" i="19"/>
  <c r="G15" i="19"/>
  <c r="F15" i="19"/>
  <c r="E15" i="19"/>
  <c r="D15" i="19"/>
  <c r="C15" i="19"/>
  <c r="L14" i="19"/>
  <c r="K14" i="19"/>
  <c r="J14" i="19"/>
  <c r="I14" i="19"/>
  <c r="H14" i="19"/>
  <c r="G14" i="19"/>
  <c r="F14" i="19"/>
  <c r="E14" i="19"/>
  <c r="D14" i="19"/>
  <c r="C14" i="19"/>
  <c r="L13" i="19"/>
  <c r="K13" i="19"/>
  <c r="J13" i="19"/>
  <c r="I13" i="19"/>
  <c r="H13" i="19"/>
  <c r="G13" i="19"/>
  <c r="F13" i="19"/>
  <c r="E13" i="19"/>
  <c r="D13" i="19"/>
  <c r="C13" i="19"/>
  <c r="L12" i="19"/>
  <c r="K12" i="19"/>
  <c r="J12" i="19"/>
  <c r="I12" i="19"/>
  <c r="H12" i="19"/>
  <c r="G12" i="19"/>
  <c r="F12" i="19"/>
  <c r="E12" i="19"/>
  <c r="D12" i="19"/>
  <c r="C12" i="19"/>
  <c r="L11" i="19"/>
  <c r="K11" i="19"/>
  <c r="J11" i="19"/>
  <c r="I11" i="19"/>
  <c r="H11" i="19"/>
  <c r="G11" i="19"/>
  <c r="F11" i="19"/>
  <c r="E11" i="19"/>
  <c r="D11" i="19"/>
  <c r="C11" i="19"/>
  <c r="L10" i="19"/>
  <c r="K10" i="19"/>
  <c r="J10" i="19"/>
  <c r="I10" i="19"/>
  <c r="H10" i="19"/>
  <c r="G10" i="19"/>
  <c r="F10" i="19"/>
  <c r="E10" i="19"/>
  <c r="D10" i="19"/>
  <c r="C10" i="19"/>
  <c r="L9" i="19"/>
  <c r="K9" i="19"/>
  <c r="J9" i="19"/>
  <c r="I9" i="19"/>
  <c r="H9" i="19"/>
  <c r="G9" i="19"/>
  <c r="F9" i="19"/>
  <c r="E9" i="19"/>
  <c r="D9" i="19"/>
  <c r="C9" i="19"/>
  <c r="L8" i="19"/>
  <c r="K8" i="19"/>
  <c r="J8" i="19"/>
  <c r="I8" i="19"/>
  <c r="H8" i="19"/>
  <c r="G8" i="19"/>
  <c r="F8" i="19"/>
  <c r="E8" i="19"/>
  <c r="D8" i="19"/>
  <c r="C8" i="19"/>
  <c r="L7" i="19"/>
  <c r="K7" i="19"/>
  <c r="J7" i="19"/>
  <c r="I7" i="19"/>
  <c r="H7" i="19"/>
  <c r="G7" i="19"/>
  <c r="F7" i="19"/>
  <c r="E7" i="19"/>
  <c r="D7" i="19"/>
  <c r="C7" i="19"/>
  <c r="L6" i="19"/>
  <c r="K6" i="19"/>
  <c r="J6" i="19"/>
  <c r="I6" i="19"/>
  <c r="H6" i="19"/>
  <c r="G6" i="19"/>
  <c r="F6" i="19"/>
  <c r="E6" i="19"/>
  <c r="D6" i="19"/>
  <c r="C6" i="19"/>
  <c r="B21" i="19"/>
  <c r="B20" i="19"/>
  <c r="B19" i="19"/>
  <c r="B18" i="19"/>
  <c r="B17" i="19"/>
  <c r="B6" i="19"/>
  <c r="B16" i="19"/>
  <c r="B15" i="19"/>
  <c r="B14" i="19"/>
  <c r="B13" i="19"/>
  <c r="B12" i="19"/>
  <c r="B11" i="19"/>
  <c r="B10" i="19"/>
  <c r="B9" i="19"/>
  <c r="B8" i="19"/>
  <c r="B7" i="19"/>
  <c r="L4" i="19"/>
  <c r="K4" i="19"/>
  <c r="J4" i="19"/>
  <c r="I4" i="19"/>
  <c r="H4" i="19"/>
  <c r="G4" i="19"/>
  <c r="F4" i="19"/>
  <c r="E4" i="19"/>
  <c r="D4" i="19"/>
  <c r="C4" i="19"/>
  <c r="E31" i="13"/>
  <c r="K41" i="13"/>
  <c r="K38" i="13"/>
  <c r="K40" i="13"/>
  <c r="E22" i="13"/>
  <c r="K23" i="13"/>
  <c r="G7" i="18"/>
  <c r="G5" i="18"/>
  <c r="E23" i="13"/>
  <c r="E35" i="13"/>
  <c r="D35" i="13"/>
  <c r="K31" i="13"/>
  <c r="C33" i="13"/>
  <c r="C32" i="13"/>
  <c r="C31" i="13"/>
  <c r="J14" i="13"/>
  <c r="K14" i="13" s="1"/>
  <c r="BZ6" i="16"/>
  <c r="BT66" i="16"/>
  <c r="BT8" i="16"/>
  <c r="BT65" i="16"/>
  <c r="BT64" i="16"/>
  <c r="BT63" i="16"/>
  <c r="BT62" i="16"/>
  <c r="BT61" i="16"/>
  <c r="BT60" i="16"/>
  <c r="BT59" i="16"/>
  <c r="BT58" i="16"/>
  <c r="BT57" i="16"/>
  <c r="BT56" i="16"/>
  <c r="BT55" i="16"/>
  <c r="BT54" i="16"/>
  <c r="BT53" i="16"/>
  <c r="BT52" i="16"/>
  <c r="BT51" i="16"/>
  <c r="BT50" i="16"/>
  <c r="BT49" i="16"/>
  <c r="BT48" i="16"/>
  <c r="BT47" i="16"/>
  <c r="BT46" i="16"/>
  <c r="BT45" i="16"/>
  <c r="BT44" i="16"/>
  <c r="BT43" i="16"/>
  <c r="BT42" i="16"/>
  <c r="BT41" i="16"/>
  <c r="BT40" i="16"/>
  <c r="BT39" i="16"/>
  <c r="BT38" i="16"/>
  <c r="BT37" i="16"/>
  <c r="BT36" i="16"/>
  <c r="BT35" i="16"/>
  <c r="BT34" i="16"/>
  <c r="BT33" i="16"/>
  <c r="BT32" i="16"/>
  <c r="BT31" i="16"/>
  <c r="BT30" i="16"/>
  <c r="BT29" i="16"/>
  <c r="BT28" i="16"/>
  <c r="BT27" i="16"/>
  <c r="BT26" i="16"/>
  <c r="BT25" i="16"/>
  <c r="BT24" i="16"/>
  <c r="BT23" i="16"/>
  <c r="BT22" i="16"/>
  <c r="BT21" i="16"/>
  <c r="BT20" i="16"/>
  <c r="BT19" i="16"/>
  <c r="BT18" i="16"/>
  <c r="BT17" i="16"/>
  <c r="BT16" i="16"/>
  <c r="BT15" i="16"/>
  <c r="BT14" i="16"/>
  <c r="BT13" i="16"/>
  <c r="BT12" i="16"/>
  <c r="BT11" i="16"/>
  <c r="BT10" i="16"/>
  <c r="BT9" i="16"/>
  <c r="BW66" i="16"/>
  <c r="BW65" i="16"/>
  <c r="BW64" i="16"/>
  <c r="BW63" i="16"/>
  <c r="BW62" i="16"/>
  <c r="BW61" i="16"/>
  <c r="BW60" i="16"/>
  <c r="BW59" i="16"/>
  <c r="BW58" i="16"/>
  <c r="BW57" i="16"/>
  <c r="BW56" i="16"/>
  <c r="BW55" i="16"/>
  <c r="BW54" i="16"/>
  <c r="BW53" i="16"/>
  <c r="BW52" i="16"/>
  <c r="BW51" i="16"/>
  <c r="BW50" i="16"/>
  <c r="BW49" i="16"/>
  <c r="BW48" i="16"/>
  <c r="BW47" i="16"/>
  <c r="BW46" i="16"/>
  <c r="BW45" i="16"/>
  <c r="BW44" i="16"/>
  <c r="BW43" i="16"/>
  <c r="BW42" i="16"/>
  <c r="BW41" i="16"/>
  <c r="BW40" i="16"/>
  <c r="BW39" i="16"/>
  <c r="BW38" i="16"/>
  <c r="BW37" i="16"/>
  <c r="BW36" i="16"/>
  <c r="BW35" i="16"/>
  <c r="BW34" i="16"/>
  <c r="BW33" i="16"/>
  <c r="BW32" i="16"/>
  <c r="BW31" i="16"/>
  <c r="BW30" i="16"/>
  <c r="BW29" i="16"/>
  <c r="BW28" i="16"/>
  <c r="BW27" i="16"/>
  <c r="BW26" i="16"/>
  <c r="BW25" i="16"/>
  <c r="BW24" i="16"/>
  <c r="BW23" i="16"/>
  <c r="BW22" i="16"/>
  <c r="BW21" i="16"/>
  <c r="BW20" i="16"/>
  <c r="BW19" i="16"/>
  <c r="BW18" i="16"/>
  <c r="BW17" i="16"/>
  <c r="BW16" i="16"/>
  <c r="BW15" i="16"/>
  <c r="BW14" i="16"/>
  <c r="BW13" i="16"/>
  <c r="BW12" i="16"/>
  <c r="BW11" i="16"/>
  <c r="BW10" i="16"/>
  <c r="BW9" i="16"/>
  <c r="BW8" i="16"/>
  <c r="BF66" i="16"/>
  <c r="BF65" i="16"/>
  <c r="BF64" i="16"/>
  <c r="BF63" i="16"/>
  <c r="BF62" i="16"/>
  <c r="BF61" i="16"/>
  <c r="BF60" i="16"/>
  <c r="BF59" i="16"/>
  <c r="BF58" i="16"/>
  <c r="BF57" i="16"/>
  <c r="BF56" i="16"/>
  <c r="BF55" i="16"/>
  <c r="BF54" i="16"/>
  <c r="BF53" i="16"/>
  <c r="BF52" i="16"/>
  <c r="BF51" i="16"/>
  <c r="BF50" i="16"/>
  <c r="BF49" i="16"/>
  <c r="BF48" i="16"/>
  <c r="BF47" i="16"/>
  <c r="BF46" i="16"/>
  <c r="BF45" i="16"/>
  <c r="BF44" i="16"/>
  <c r="BF43" i="16"/>
  <c r="BF42" i="16"/>
  <c r="BF41" i="16"/>
  <c r="BF40" i="16"/>
  <c r="BF39" i="16"/>
  <c r="BF38" i="16"/>
  <c r="BF37" i="16"/>
  <c r="BF36" i="16"/>
  <c r="BF35" i="16"/>
  <c r="BF34" i="16"/>
  <c r="BF33" i="16"/>
  <c r="BF32" i="16"/>
  <c r="BF31" i="16"/>
  <c r="BF30" i="16"/>
  <c r="BF29" i="16"/>
  <c r="BF28" i="16"/>
  <c r="BF27" i="16"/>
  <c r="BF26" i="16"/>
  <c r="BF25" i="16"/>
  <c r="BF24" i="16"/>
  <c r="BF23" i="16"/>
  <c r="BF22" i="16"/>
  <c r="BF21" i="16"/>
  <c r="BF20" i="16"/>
  <c r="BF19" i="16"/>
  <c r="BF18" i="16"/>
  <c r="BF17" i="16"/>
  <c r="BF16" i="16"/>
  <c r="BF15" i="16"/>
  <c r="BF14" i="16"/>
  <c r="BF13" i="16"/>
  <c r="BF12" i="16"/>
  <c r="BF11" i="16"/>
  <c r="BF10" i="16"/>
  <c r="BF9" i="16"/>
  <c r="BF8" i="16"/>
  <c r="BC66" i="16"/>
  <c r="BC8" i="16"/>
  <c r="BC65" i="16"/>
  <c r="BC64" i="16"/>
  <c r="BC63" i="16"/>
  <c r="BC62" i="16"/>
  <c r="BC61" i="16"/>
  <c r="BC60" i="16"/>
  <c r="BC59" i="16"/>
  <c r="BC58" i="16"/>
  <c r="BC57" i="16"/>
  <c r="BC56" i="16"/>
  <c r="BC55" i="16"/>
  <c r="BC54" i="16"/>
  <c r="BC53" i="16"/>
  <c r="BC52" i="16"/>
  <c r="BC51" i="16"/>
  <c r="BC50" i="16"/>
  <c r="BC49" i="16"/>
  <c r="BC48" i="16"/>
  <c r="BC47" i="16"/>
  <c r="BC46" i="16"/>
  <c r="BC45" i="16"/>
  <c r="BC44" i="16"/>
  <c r="BC43" i="16"/>
  <c r="BC42" i="16"/>
  <c r="BC41" i="16"/>
  <c r="BC40" i="16"/>
  <c r="BC39" i="16"/>
  <c r="BC38" i="16"/>
  <c r="BC37" i="16"/>
  <c r="BC36" i="16"/>
  <c r="BC35" i="16"/>
  <c r="BC34" i="16"/>
  <c r="BC33" i="16"/>
  <c r="BC32" i="16"/>
  <c r="BC31" i="16"/>
  <c r="BC30" i="16"/>
  <c r="BC29" i="16"/>
  <c r="BC28" i="16"/>
  <c r="BC27" i="16"/>
  <c r="BC26" i="16"/>
  <c r="BC25" i="16"/>
  <c r="BC24" i="16"/>
  <c r="BC23" i="16"/>
  <c r="BC22" i="16"/>
  <c r="BC21" i="16"/>
  <c r="BC20" i="16"/>
  <c r="BC19" i="16"/>
  <c r="BC18" i="16"/>
  <c r="BC17" i="16"/>
  <c r="BC16" i="16"/>
  <c r="BC15" i="16"/>
  <c r="BC14" i="16"/>
  <c r="BC13" i="16"/>
  <c r="BC12" i="16"/>
  <c r="BC11" i="16"/>
  <c r="BC10" i="16"/>
  <c r="BC9" i="16"/>
  <c r="AR18" i="16"/>
  <c r="AR6" i="16" s="1"/>
  <c r="AR12" i="16" s="1"/>
  <c r="AL66" i="16"/>
  <c r="AL8" i="16"/>
  <c r="AL65" i="16"/>
  <c r="AL64" i="16"/>
  <c r="AL63" i="16"/>
  <c r="AL62" i="16"/>
  <c r="AL61" i="16"/>
  <c r="AL60" i="16"/>
  <c r="AL59" i="16"/>
  <c r="AL58" i="16"/>
  <c r="AL57" i="16"/>
  <c r="AL56" i="16"/>
  <c r="AL55" i="16"/>
  <c r="AL54" i="16"/>
  <c r="AL53" i="16"/>
  <c r="AL52" i="16"/>
  <c r="AL51" i="16"/>
  <c r="AL50" i="16"/>
  <c r="AL49" i="16"/>
  <c r="AL48" i="16"/>
  <c r="AL47" i="16"/>
  <c r="AL46" i="16"/>
  <c r="AL45" i="16"/>
  <c r="AL44" i="16"/>
  <c r="AL43" i="16"/>
  <c r="AL42" i="16"/>
  <c r="AL41" i="16"/>
  <c r="AL40" i="16"/>
  <c r="AL39" i="16"/>
  <c r="AL38" i="16"/>
  <c r="AL37" i="16"/>
  <c r="AL36" i="16"/>
  <c r="AL35" i="16"/>
  <c r="AL34" i="16"/>
  <c r="AL33" i="16"/>
  <c r="AL32" i="16"/>
  <c r="AL31" i="16"/>
  <c r="AL30" i="16"/>
  <c r="AL29" i="16"/>
  <c r="AL28" i="16"/>
  <c r="AL27" i="16"/>
  <c r="AL26" i="16"/>
  <c r="AL25" i="16"/>
  <c r="AL24" i="16"/>
  <c r="AL23" i="16"/>
  <c r="AL22" i="16"/>
  <c r="AL21" i="16"/>
  <c r="AL20" i="16"/>
  <c r="AL19" i="16"/>
  <c r="AL18" i="16"/>
  <c r="AL17" i="16"/>
  <c r="AL16" i="16"/>
  <c r="AL15" i="16"/>
  <c r="AL14" i="16"/>
  <c r="AL13" i="16"/>
  <c r="AL12" i="16"/>
  <c r="AL11" i="16"/>
  <c r="AL10" i="16"/>
  <c r="AL9" i="16"/>
  <c r="AO66" i="16"/>
  <c r="AO65" i="16"/>
  <c r="AO64" i="16"/>
  <c r="AO63" i="16"/>
  <c r="AO62" i="16"/>
  <c r="AO61" i="16"/>
  <c r="AO60" i="16"/>
  <c r="AO59" i="16"/>
  <c r="AO58" i="16"/>
  <c r="AO57" i="16"/>
  <c r="AO56" i="16"/>
  <c r="AO55" i="16"/>
  <c r="AO54" i="16"/>
  <c r="AO53" i="16"/>
  <c r="AO52" i="16"/>
  <c r="AO51" i="16"/>
  <c r="AO50" i="16"/>
  <c r="AO49" i="16"/>
  <c r="AO48" i="16"/>
  <c r="AO47" i="16"/>
  <c r="AO46" i="16"/>
  <c r="AO45" i="16"/>
  <c r="AO44" i="16"/>
  <c r="AO43" i="16"/>
  <c r="AO42" i="16"/>
  <c r="AO41" i="16"/>
  <c r="AO40" i="16"/>
  <c r="AO39" i="16"/>
  <c r="AO38" i="16"/>
  <c r="AO37" i="16"/>
  <c r="AO36" i="16"/>
  <c r="AO35" i="16"/>
  <c r="AO34" i="16"/>
  <c r="AO33" i="16"/>
  <c r="AO32" i="16"/>
  <c r="AO31" i="16"/>
  <c r="AO30" i="16"/>
  <c r="AO29" i="16"/>
  <c r="AO28" i="16"/>
  <c r="AO27" i="16"/>
  <c r="AO26" i="16"/>
  <c r="AO25" i="16"/>
  <c r="AO24" i="16"/>
  <c r="AO23" i="16"/>
  <c r="AO22" i="16"/>
  <c r="AO21" i="16"/>
  <c r="AO20" i="16"/>
  <c r="AO19" i="16"/>
  <c r="AO18" i="16"/>
  <c r="AO17" i="16"/>
  <c r="AO16" i="16"/>
  <c r="AO15" i="16"/>
  <c r="AO14" i="16"/>
  <c r="AO13" i="16"/>
  <c r="AO12" i="16"/>
  <c r="AO11" i="16"/>
  <c r="AO10" i="16"/>
  <c r="AR15" i="16" s="1"/>
  <c r="AO9" i="16"/>
  <c r="AO8" i="16"/>
  <c r="AA18" i="16"/>
  <c r="J10" i="13" s="1"/>
  <c r="J13" i="13" l="1"/>
  <c r="J12" i="13"/>
  <c r="BZ15" i="16"/>
  <c r="BZ16" i="16"/>
  <c r="AR16" i="16"/>
  <c r="E2" i="23"/>
  <c r="F2" i="23" s="1"/>
  <c r="G2" i="23" s="1"/>
  <c r="H2" i="23" s="1"/>
  <c r="I2" i="23" s="1"/>
  <c r="J2" i="23" s="1"/>
  <c r="H9" i="23"/>
  <c r="I9" i="23" s="1"/>
  <c r="F4" i="23"/>
  <c r="J14" i="22"/>
  <c r="J28" i="22"/>
  <c r="J30" i="22" s="1"/>
  <c r="K28" i="22"/>
  <c r="K30" i="22" s="1"/>
  <c r="G28" i="22"/>
  <c r="G30" i="22" s="1"/>
  <c r="H28" i="22"/>
  <c r="H30" i="22" s="1"/>
  <c r="I8" i="22"/>
  <c r="I14" i="22"/>
  <c r="I28" i="22"/>
  <c r="I30" i="22" s="1"/>
  <c r="H43" i="22"/>
  <c r="H45" i="22" s="1"/>
  <c r="I43" i="22"/>
  <c r="I45" i="22" s="1"/>
  <c r="J43" i="22"/>
  <c r="J45" i="22" s="1"/>
  <c r="K14" i="22"/>
  <c r="J8" i="22"/>
  <c r="K8" i="22"/>
  <c r="H8" i="22"/>
  <c r="G8" i="22"/>
  <c r="H14" i="22"/>
  <c r="G14" i="22"/>
  <c r="E33" i="19"/>
  <c r="F33" i="19"/>
  <c r="L36" i="19"/>
  <c r="D39" i="19"/>
  <c r="D35" i="19"/>
  <c r="E39" i="19"/>
  <c r="E35" i="19"/>
  <c r="H39" i="19"/>
  <c r="F35" i="19"/>
  <c r="I39" i="19"/>
  <c r="L35" i="19"/>
  <c r="E38" i="19"/>
  <c r="J39" i="19"/>
  <c r="E34" i="19"/>
  <c r="D36" i="19"/>
  <c r="F38" i="19"/>
  <c r="L39" i="19"/>
  <c r="C33" i="19"/>
  <c r="K33" i="19"/>
  <c r="C34" i="19"/>
  <c r="K34" i="19"/>
  <c r="J35" i="19"/>
  <c r="I36" i="19"/>
  <c r="G38" i="19"/>
  <c r="F39" i="19"/>
  <c r="E40" i="19"/>
  <c r="C36" i="19"/>
  <c r="H35" i="19"/>
  <c r="G36" i="19"/>
  <c r="C35" i="19"/>
  <c r="I35" i="19"/>
  <c r="H36" i="19"/>
  <c r="D40" i="19"/>
  <c r="D33" i="19"/>
  <c r="L33" i="19"/>
  <c r="D34" i="19"/>
  <c r="L34" i="19"/>
  <c r="K35" i="19"/>
  <c r="J36" i="19"/>
  <c r="H38" i="19"/>
  <c r="G39" i="19"/>
  <c r="F40" i="19"/>
  <c r="G40" i="19"/>
  <c r="H40" i="19"/>
  <c r="G33" i="19"/>
  <c r="C38" i="19"/>
  <c r="G34" i="19"/>
  <c r="K38" i="19"/>
  <c r="H33" i="19"/>
  <c r="L38" i="19"/>
  <c r="K39" i="19"/>
  <c r="J18" i="16"/>
  <c r="J11" i="13" s="1"/>
  <c r="J17" i="13" s="1"/>
  <c r="U66" i="16"/>
  <c r="U65" i="16"/>
  <c r="U64" i="16"/>
  <c r="U63" i="16"/>
  <c r="U62" i="16"/>
  <c r="U61" i="16"/>
  <c r="U60" i="16"/>
  <c r="U59" i="16"/>
  <c r="U58" i="16"/>
  <c r="U57" i="16"/>
  <c r="U56" i="16"/>
  <c r="U55" i="16"/>
  <c r="U54" i="16"/>
  <c r="U5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9" i="16"/>
  <c r="U8" i="16"/>
  <c r="AA6" i="16"/>
  <c r="AA12" i="16" s="1"/>
  <c r="X66" i="16"/>
  <c r="X65" i="16"/>
  <c r="X64" i="16"/>
  <c r="X63" i="16"/>
  <c r="X62" i="16"/>
  <c r="X61" i="16"/>
  <c r="X60" i="16"/>
  <c r="X59" i="16"/>
  <c r="X58" i="16"/>
  <c r="X57" i="16"/>
  <c r="X56" i="16"/>
  <c r="X55" i="16"/>
  <c r="X54" i="16"/>
  <c r="X53" i="16"/>
  <c r="X52" i="16"/>
  <c r="X51" i="16"/>
  <c r="X50" i="16"/>
  <c r="X49" i="16"/>
  <c r="X48" i="16"/>
  <c r="X47" i="16"/>
  <c r="X46" i="16"/>
  <c r="X45" i="16"/>
  <c r="X44" i="16"/>
  <c r="X43" i="16"/>
  <c r="X42" i="16"/>
  <c r="X41" i="16"/>
  <c r="X40" i="16"/>
  <c r="X39" i="16"/>
  <c r="X38" i="16"/>
  <c r="X37" i="16"/>
  <c r="X36" i="16"/>
  <c r="X35" i="16"/>
  <c r="X34" i="16"/>
  <c r="X33" i="16"/>
  <c r="X32" i="16"/>
  <c r="X31" i="16"/>
  <c r="X30" i="16"/>
  <c r="X29" i="16"/>
  <c r="X28" i="16"/>
  <c r="X27" i="16"/>
  <c r="X26" i="16"/>
  <c r="X25" i="16"/>
  <c r="X24" i="16"/>
  <c r="X23" i="16"/>
  <c r="X22" i="16"/>
  <c r="X21" i="16"/>
  <c r="X20" i="16"/>
  <c r="X19" i="16"/>
  <c r="X18" i="16"/>
  <c r="X17" i="16"/>
  <c r="X16" i="16"/>
  <c r="X15" i="16"/>
  <c r="X14" i="16"/>
  <c r="X13" i="16"/>
  <c r="X12" i="16"/>
  <c r="X11" i="16"/>
  <c r="X10" i="16"/>
  <c r="X9" i="16"/>
  <c r="X8" i="16"/>
  <c r="I10" i="13"/>
  <c r="H14" i="13"/>
  <c r="H11" i="13"/>
  <c r="H10" i="13"/>
  <c r="F14" i="13"/>
  <c r="F13" i="13"/>
  <c r="F12" i="13"/>
  <c r="F11" i="13"/>
  <c r="F10" i="13"/>
  <c r="E14" i="13"/>
  <c r="E13" i="13"/>
  <c r="E12" i="13"/>
  <c r="E11" i="13"/>
  <c r="E10" i="13"/>
  <c r="J6" i="16" l="1"/>
  <c r="J12" i="16" s="1"/>
  <c r="J16" i="22"/>
  <c r="J32" i="22" s="1"/>
  <c r="J35" i="22" s="1"/>
  <c r="J57" i="22" s="1"/>
  <c r="I16" i="22"/>
  <c r="I32" i="22" s="1"/>
  <c r="I35" i="22" s="1"/>
  <c r="I57" i="22" s="1"/>
  <c r="J9" i="23"/>
  <c r="F6" i="23"/>
  <c r="G4" i="23"/>
  <c r="J41" i="22"/>
  <c r="J47" i="22" s="1"/>
  <c r="J49" i="22" s="1"/>
  <c r="J56" i="22" s="1"/>
  <c r="K16" i="22"/>
  <c r="G16" i="22"/>
  <c r="G32" i="22" s="1"/>
  <c r="G35" i="22" s="1"/>
  <c r="H16" i="22"/>
  <c r="AA16" i="16"/>
  <c r="AA15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8" i="16"/>
  <c r="K32" i="13"/>
  <c r="D33" i="13"/>
  <c r="E33" i="13" s="1"/>
  <c r="E32" i="13" s="1"/>
  <c r="E24" i="13"/>
  <c r="J16" i="13"/>
  <c r="G17" i="13"/>
  <c r="G16" i="13"/>
  <c r="I14" i="13"/>
  <c r="I13" i="13"/>
  <c r="I12" i="13"/>
  <c r="I11" i="13"/>
  <c r="H13" i="13"/>
  <c r="K13" i="13" s="1"/>
  <c r="H12" i="13"/>
  <c r="K12" i="13" s="1"/>
  <c r="K11" i="13"/>
  <c r="N2" i="12"/>
  <c r="N5" i="12"/>
  <c r="N6" i="12" s="1"/>
  <c r="N7" i="12" s="1"/>
  <c r="N8" i="12" s="1"/>
  <c r="N9" i="12" s="1"/>
  <c r="N10" i="12" s="1"/>
  <c r="N11" i="12" s="1"/>
  <c r="N12" i="12" s="1"/>
  <c r="N13" i="12" s="1"/>
  <c r="N14" i="12" s="1"/>
  <c r="B2" i="12"/>
  <c r="H2" i="12"/>
  <c r="H5" i="12"/>
  <c r="H6" i="12" s="1"/>
  <c r="H7" i="12" s="1"/>
  <c r="H8" i="12" s="1"/>
  <c r="H9" i="12" s="1"/>
  <c r="H10" i="12" s="1"/>
  <c r="H11" i="12" s="1"/>
  <c r="H12" i="12" s="1"/>
  <c r="H13" i="12" s="1"/>
  <c r="H14" i="12" s="1"/>
  <c r="D4" i="12" a="1"/>
  <c r="D4" i="12" s="1"/>
  <c r="C4" i="12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B5" i="12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G21" i="8"/>
  <c r="C5" i="11"/>
  <c r="B2" i="11"/>
  <c r="L3" i="11"/>
  <c r="K3" i="11"/>
  <c r="J3" i="11"/>
  <c r="I3" i="11"/>
  <c r="H3" i="11"/>
  <c r="G3" i="11"/>
  <c r="F3" i="11"/>
  <c r="E3" i="11"/>
  <c r="D3" i="11"/>
  <c r="C3" i="11"/>
  <c r="L96" i="8"/>
  <c r="K96" i="8"/>
  <c r="J96" i="8"/>
  <c r="I96" i="8"/>
  <c r="H96" i="8"/>
  <c r="G96" i="8"/>
  <c r="F96" i="8"/>
  <c r="E96" i="8"/>
  <c r="D96" i="8"/>
  <c r="C96" i="8"/>
  <c r="L95" i="8"/>
  <c r="K95" i="8"/>
  <c r="J95" i="8"/>
  <c r="I95" i="8"/>
  <c r="H95" i="8"/>
  <c r="G95" i="8"/>
  <c r="F95" i="8"/>
  <c r="E95" i="8"/>
  <c r="D95" i="8"/>
  <c r="C95" i="8"/>
  <c r="L94" i="8"/>
  <c r="K94" i="8"/>
  <c r="J94" i="8"/>
  <c r="I94" i="8"/>
  <c r="H94" i="8"/>
  <c r="G94" i="8"/>
  <c r="F94" i="8"/>
  <c r="E94" i="8"/>
  <c r="D94" i="8"/>
  <c r="C94" i="8"/>
  <c r="L93" i="8"/>
  <c r="K93" i="8"/>
  <c r="J93" i="8"/>
  <c r="I93" i="8"/>
  <c r="H93" i="8"/>
  <c r="G93" i="8"/>
  <c r="F93" i="8"/>
  <c r="E93" i="8"/>
  <c r="D93" i="8"/>
  <c r="C93" i="8"/>
  <c r="L92" i="8"/>
  <c r="L97" i="8" s="1"/>
  <c r="K92" i="8"/>
  <c r="J92" i="8"/>
  <c r="I92" i="8"/>
  <c r="H92" i="8"/>
  <c r="G92" i="8"/>
  <c r="F92" i="8"/>
  <c r="E92" i="8"/>
  <c r="D92" i="8"/>
  <c r="D97" i="8" s="1"/>
  <c r="C92" i="8"/>
  <c r="L88" i="8"/>
  <c r="K88" i="8"/>
  <c r="J88" i="8"/>
  <c r="I88" i="8"/>
  <c r="H88" i="8"/>
  <c r="G88" i="8"/>
  <c r="F88" i="8"/>
  <c r="E88" i="8"/>
  <c r="D88" i="8"/>
  <c r="C88" i="8"/>
  <c r="L87" i="8"/>
  <c r="K87" i="8"/>
  <c r="J87" i="8"/>
  <c r="I87" i="8"/>
  <c r="H87" i="8"/>
  <c r="G87" i="8"/>
  <c r="F87" i="8"/>
  <c r="E87" i="8"/>
  <c r="D87" i="8"/>
  <c r="C87" i="8"/>
  <c r="L86" i="8"/>
  <c r="K86" i="8"/>
  <c r="J86" i="8"/>
  <c r="I86" i="8"/>
  <c r="H86" i="8"/>
  <c r="G86" i="8"/>
  <c r="F86" i="8"/>
  <c r="E86" i="8"/>
  <c r="D86" i="8"/>
  <c r="C86" i="8"/>
  <c r="L85" i="8"/>
  <c r="K85" i="8"/>
  <c r="J85" i="8"/>
  <c r="I85" i="8"/>
  <c r="H85" i="8"/>
  <c r="G85" i="8"/>
  <c r="F85" i="8"/>
  <c r="E85" i="8"/>
  <c r="D85" i="8"/>
  <c r="C85" i="8"/>
  <c r="L84" i="8"/>
  <c r="K84" i="8"/>
  <c r="J84" i="8"/>
  <c r="I84" i="8"/>
  <c r="H84" i="8"/>
  <c r="G84" i="8"/>
  <c r="F84" i="8"/>
  <c r="E84" i="8"/>
  <c r="D84" i="8"/>
  <c r="C84" i="8"/>
  <c r="L83" i="8"/>
  <c r="K83" i="8"/>
  <c r="J83" i="8"/>
  <c r="I83" i="8"/>
  <c r="H83" i="8"/>
  <c r="G83" i="8"/>
  <c r="F83" i="8"/>
  <c r="E83" i="8"/>
  <c r="D83" i="8"/>
  <c r="C83" i="8"/>
  <c r="L82" i="8"/>
  <c r="K82" i="8"/>
  <c r="J82" i="8"/>
  <c r="I82" i="8"/>
  <c r="H82" i="8"/>
  <c r="G82" i="8"/>
  <c r="F82" i="8"/>
  <c r="E82" i="8"/>
  <c r="D82" i="8"/>
  <c r="C82" i="8"/>
  <c r="L81" i="8"/>
  <c r="K81" i="8"/>
  <c r="J81" i="8"/>
  <c r="I81" i="8"/>
  <c r="H81" i="8"/>
  <c r="G81" i="8"/>
  <c r="F81" i="8"/>
  <c r="E81" i="8"/>
  <c r="D81" i="8"/>
  <c r="C81" i="8"/>
  <c r="L80" i="8"/>
  <c r="K80" i="8"/>
  <c r="J80" i="8"/>
  <c r="I80" i="8"/>
  <c r="H80" i="8"/>
  <c r="G80" i="8"/>
  <c r="F80" i="8"/>
  <c r="F89" i="8" s="1"/>
  <c r="E80" i="8"/>
  <c r="E89" i="8" s="1"/>
  <c r="D80" i="8"/>
  <c r="C80" i="8"/>
  <c r="C61" i="8"/>
  <c r="C70" i="8"/>
  <c r="L76" i="8"/>
  <c r="K76" i="8"/>
  <c r="J76" i="8"/>
  <c r="I76" i="8"/>
  <c r="H76" i="8"/>
  <c r="G76" i="8"/>
  <c r="F76" i="8"/>
  <c r="E76" i="8"/>
  <c r="D76" i="8"/>
  <c r="C76" i="8"/>
  <c r="L75" i="8"/>
  <c r="K75" i="8"/>
  <c r="J75" i="8"/>
  <c r="I75" i="8"/>
  <c r="H75" i="8"/>
  <c r="G75" i="8"/>
  <c r="F75" i="8"/>
  <c r="E75" i="8"/>
  <c r="D75" i="8"/>
  <c r="C75" i="8"/>
  <c r="L74" i="8"/>
  <c r="K74" i="8"/>
  <c r="J74" i="8"/>
  <c r="I74" i="8"/>
  <c r="H74" i="8"/>
  <c r="G74" i="8"/>
  <c r="F74" i="8"/>
  <c r="E74" i="8"/>
  <c r="D74" i="8"/>
  <c r="C74" i="8"/>
  <c r="L73" i="8"/>
  <c r="K73" i="8"/>
  <c r="J73" i="8"/>
  <c r="I73" i="8"/>
  <c r="H73" i="8"/>
  <c r="G73" i="8"/>
  <c r="F73" i="8"/>
  <c r="E73" i="8"/>
  <c r="D73" i="8"/>
  <c r="C73" i="8"/>
  <c r="L72" i="8"/>
  <c r="K72" i="8"/>
  <c r="J72" i="8"/>
  <c r="I72" i="8"/>
  <c r="H72" i="8"/>
  <c r="G72" i="8"/>
  <c r="F72" i="8"/>
  <c r="E72" i="8"/>
  <c r="D72" i="8"/>
  <c r="C72" i="8"/>
  <c r="L71" i="8"/>
  <c r="K71" i="8"/>
  <c r="J71" i="8"/>
  <c r="I71" i="8"/>
  <c r="H71" i="8"/>
  <c r="G71" i="8"/>
  <c r="F71" i="8"/>
  <c r="E71" i="8"/>
  <c r="D71" i="8"/>
  <c r="C71" i="8"/>
  <c r="L70" i="8"/>
  <c r="K70" i="8"/>
  <c r="J70" i="8"/>
  <c r="I70" i="8"/>
  <c r="H70" i="8"/>
  <c r="G70" i="8"/>
  <c r="F70" i="8"/>
  <c r="F77" i="8" s="1"/>
  <c r="E70" i="8"/>
  <c r="E77" i="8" s="1"/>
  <c r="D70" i="8"/>
  <c r="L56" i="8"/>
  <c r="K56" i="8"/>
  <c r="J56" i="8"/>
  <c r="I56" i="8"/>
  <c r="H56" i="8"/>
  <c r="G56" i="8"/>
  <c r="F56" i="8"/>
  <c r="E56" i="8"/>
  <c r="D56" i="8"/>
  <c r="C56" i="8"/>
  <c r="L61" i="8"/>
  <c r="K61" i="8"/>
  <c r="J61" i="8"/>
  <c r="I61" i="8"/>
  <c r="H61" i="8"/>
  <c r="G61" i="8"/>
  <c r="F61" i="8"/>
  <c r="E61" i="8"/>
  <c r="D61" i="8"/>
  <c r="L60" i="8"/>
  <c r="K60" i="8"/>
  <c r="J60" i="8"/>
  <c r="I60" i="8"/>
  <c r="H60" i="8"/>
  <c r="G60" i="8"/>
  <c r="F60" i="8"/>
  <c r="E60" i="8"/>
  <c r="D60" i="8"/>
  <c r="C60" i="8"/>
  <c r="L59" i="8"/>
  <c r="L62" i="8" s="1"/>
  <c r="K59" i="8"/>
  <c r="J59" i="8"/>
  <c r="I59" i="8"/>
  <c r="I62" i="8" s="1"/>
  <c r="H59" i="8"/>
  <c r="G59" i="8"/>
  <c r="F59" i="8"/>
  <c r="E59" i="8"/>
  <c r="E62" i="8" s="1"/>
  <c r="D59" i="8"/>
  <c r="D62" i="8" s="1"/>
  <c r="C59" i="8"/>
  <c r="L55" i="8"/>
  <c r="K55" i="8"/>
  <c r="J55" i="8"/>
  <c r="I55" i="8"/>
  <c r="H55" i="8"/>
  <c r="G55" i="8"/>
  <c r="F55" i="8"/>
  <c r="E55" i="8"/>
  <c r="D55" i="8"/>
  <c r="C55" i="8"/>
  <c r="L54" i="8"/>
  <c r="K54" i="8"/>
  <c r="J54" i="8"/>
  <c r="I54" i="8"/>
  <c r="H54" i="8"/>
  <c r="G54" i="8"/>
  <c r="F54" i="8"/>
  <c r="E54" i="8"/>
  <c r="D54" i="8"/>
  <c r="C54" i="8"/>
  <c r="L53" i="8"/>
  <c r="K53" i="8"/>
  <c r="J53" i="8"/>
  <c r="J57" i="8" s="1"/>
  <c r="I53" i="8"/>
  <c r="H53" i="8"/>
  <c r="G53" i="8"/>
  <c r="F53" i="8"/>
  <c r="E53" i="8"/>
  <c r="D53" i="8"/>
  <c r="C53" i="8"/>
  <c r="L51" i="8"/>
  <c r="K51" i="8"/>
  <c r="J51" i="8"/>
  <c r="I51" i="8"/>
  <c r="H51" i="8"/>
  <c r="G51" i="8"/>
  <c r="F51" i="8"/>
  <c r="E51" i="8"/>
  <c r="D51" i="8"/>
  <c r="C51" i="8"/>
  <c r="L50" i="8"/>
  <c r="K50" i="8"/>
  <c r="J50" i="8"/>
  <c r="I50" i="8"/>
  <c r="H50" i="8"/>
  <c r="G50" i="8"/>
  <c r="F50" i="8"/>
  <c r="E50" i="8"/>
  <c r="D50" i="8"/>
  <c r="C50" i="8"/>
  <c r="L49" i="8"/>
  <c r="K49" i="8"/>
  <c r="J49" i="8"/>
  <c r="I49" i="8"/>
  <c r="H49" i="8"/>
  <c r="G49" i="8"/>
  <c r="F49" i="8"/>
  <c r="E49" i="8"/>
  <c r="D49" i="8"/>
  <c r="C49" i="8"/>
  <c r="L48" i="8"/>
  <c r="K48" i="8"/>
  <c r="J48" i="8"/>
  <c r="I48" i="8"/>
  <c r="H48" i="8"/>
  <c r="G48" i="8"/>
  <c r="F48" i="8"/>
  <c r="E48" i="8"/>
  <c r="D48" i="8"/>
  <c r="C48" i="8"/>
  <c r="L47" i="8"/>
  <c r="K47" i="8"/>
  <c r="J47" i="8"/>
  <c r="I47" i="8"/>
  <c r="H47" i="8"/>
  <c r="G47" i="8"/>
  <c r="F47" i="8"/>
  <c r="E47" i="8"/>
  <c r="D47" i="8"/>
  <c r="C47" i="8"/>
  <c r="L36" i="8"/>
  <c r="L41" i="8" s="1"/>
  <c r="K36" i="8"/>
  <c r="K41" i="8" s="1"/>
  <c r="K9" i="11" s="1"/>
  <c r="J36" i="8"/>
  <c r="J41" i="8" s="1"/>
  <c r="I36" i="8"/>
  <c r="I41" i="8" s="1"/>
  <c r="H36" i="8"/>
  <c r="H41" i="8" s="1"/>
  <c r="I9" i="11" s="1"/>
  <c r="G36" i="8"/>
  <c r="G41" i="8" s="1"/>
  <c r="F36" i="8"/>
  <c r="F41" i="8" s="1"/>
  <c r="E36" i="8"/>
  <c r="E41" i="8" s="1"/>
  <c r="D36" i="8"/>
  <c r="D41" i="8" s="1"/>
  <c r="C36" i="8"/>
  <c r="C41" i="8" s="1"/>
  <c r="C30" i="8"/>
  <c r="L30" i="8"/>
  <c r="K30" i="8"/>
  <c r="J30" i="8"/>
  <c r="I30" i="8"/>
  <c r="H30" i="8"/>
  <c r="G30" i="8"/>
  <c r="F30" i="8"/>
  <c r="E30" i="8"/>
  <c r="D30" i="8"/>
  <c r="C21" i="8"/>
  <c r="L24" i="8"/>
  <c r="K24" i="8"/>
  <c r="J24" i="8"/>
  <c r="I24" i="8"/>
  <c r="H24" i="8"/>
  <c r="G24" i="8"/>
  <c r="F24" i="8"/>
  <c r="E24" i="8"/>
  <c r="D24" i="8"/>
  <c r="C24" i="8"/>
  <c r="L21" i="8"/>
  <c r="K21" i="8"/>
  <c r="J21" i="8"/>
  <c r="I21" i="8"/>
  <c r="H21" i="8"/>
  <c r="F21" i="8"/>
  <c r="E21" i="8"/>
  <c r="D21" i="8"/>
  <c r="L15" i="8"/>
  <c r="K15" i="8"/>
  <c r="J15" i="8"/>
  <c r="I15" i="8"/>
  <c r="H15" i="8"/>
  <c r="G15" i="8"/>
  <c r="F15" i="8"/>
  <c r="E15" i="8"/>
  <c r="D15" i="8"/>
  <c r="C15" i="8"/>
  <c r="C9" i="8" a="1"/>
  <c r="C9" i="8" s="1"/>
  <c r="D9" i="8" a="1"/>
  <c r="D9" i="8" s="1"/>
  <c r="D10" i="8" s="1"/>
  <c r="L9" i="8" a="1"/>
  <c r="L9" i="8" s="1"/>
  <c r="K9" i="8" a="1"/>
  <c r="K9" i="8" s="1"/>
  <c r="J9" i="8" a="1"/>
  <c r="J9" i="8" s="1"/>
  <c r="I9" i="8" a="1"/>
  <c r="I9" i="8" s="1"/>
  <c r="H9" i="8" a="1"/>
  <c r="H9" i="8" s="1"/>
  <c r="G9" i="8" a="1"/>
  <c r="G9" i="8" s="1"/>
  <c r="F9" i="8" a="1"/>
  <c r="F9" i="8" s="1"/>
  <c r="E9" i="8" a="1"/>
  <c r="E9" i="8" s="1"/>
  <c r="J16" i="16" l="1"/>
  <c r="J15" i="16"/>
  <c r="J59" i="22"/>
  <c r="C97" i="8"/>
  <c r="G97" i="8"/>
  <c r="H77" i="8"/>
  <c r="H41" i="11" s="1"/>
  <c r="I89" i="8"/>
  <c r="H89" i="8"/>
  <c r="H97" i="8"/>
  <c r="K77" i="8"/>
  <c r="K41" i="11" s="1"/>
  <c r="C77" i="8"/>
  <c r="C99" i="8" s="1"/>
  <c r="C89" i="8"/>
  <c r="K89" i="8"/>
  <c r="G77" i="8"/>
  <c r="G41" i="11" s="1"/>
  <c r="E97" i="8"/>
  <c r="E99" i="8" s="1"/>
  <c r="K97" i="8"/>
  <c r="I97" i="8"/>
  <c r="I77" i="8"/>
  <c r="I40" i="11" s="1"/>
  <c r="G89" i="8"/>
  <c r="J77" i="8"/>
  <c r="J89" i="8"/>
  <c r="D77" i="8"/>
  <c r="D41" i="11" s="1"/>
  <c r="L77" i="8"/>
  <c r="L41" i="11" s="1"/>
  <c r="D89" i="8"/>
  <c r="D99" i="8" s="1"/>
  <c r="L89" i="8"/>
  <c r="H99" i="8"/>
  <c r="L99" i="8"/>
  <c r="J97" i="8"/>
  <c r="J41" i="11"/>
  <c r="E41" i="11"/>
  <c r="F41" i="11"/>
  <c r="F97" i="8"/>
  <c r="F99" i="8" s="1"/>
  <c r="I41" i="11"/>
  <c r="H4" i="23"/>
  <c r="G6" i="23"/>
  <c r="H41" i="22"/>
  <c r="H47" i="22" s="1"/>
  <c r="H49" i="22" s="1"/>
  <c r="H56" i="22" s="1"/>
  <c r="H32" i="22"/>
  <c r="H35" i="22" s="1"/>
  <c r="H57" i="22" s="1"/>
  <c r="I41" i="22"/>
  <c r="I47" i="22" s="1"/>
  <c r="I49" i="22" s="1"/>
  <c r="I56" i="22" s="1"/>
  <c r="I59" i="22" s="1"/>
  <c r="K41" i="22"/>
  <c r="K47" i="22" s="1"/>
  <c r="K49" i="22" s="1"/>
  <c r="K56" i="22" s="1"/>
  <c r="K32" i="22"/>
  <c r="K35" i="22" s="1"/>
  <c r="K57" i="22" s="1"/>
  <c r="G57" i="8"/>
  <c r="F62" i="8"/>
  <c r="G62" i="8"/>
  <c r="I64" i="8"/>
  <c r="I66" i="8" s="1"/>
  <c r="E57" i="8"/>
  <c r="F9" i="11"/>
  <c r="D64" i="8"/>
  <c r="D66" i="8" s="1"/>
  <c r="C57" i="8"/>
  <c r="K57" i="8"/>
  <c r="I57" i="8"/>
  <c r="D57" i="8"/>
  <c r="L57" i="8"/>
  <c r="L64" i="8" s="1"/>
  <c r="J9" i="11"/>
  <c r="G9" i="11"/>
  <c r="D9" i="11"/>
  <c r="O9" i="11" s="1"/>
  <c r="L9" i="11"/>
  <c r="H57" i="8"/>
  <c r="F57" i="8"/>
  <c r="F64" i="8" s="1"/>
  <c r="J62" i="8"/>
  <c r="J64" i="8" s="1"/>
  <c r="H62" i="8"/>
  <c r="H64" i="8" s="1"/>
  <c r="I4" i="12"/>
  <c r="E9" i="11"/>
  <c r="C62" i="8"/>
  <c r="C64" i="8" s="1"/>
  <c r="K62" i="8"/>
  <c r="K64" i="8"/>
  <c r="E10" i="8"/>
  <c r="E64" i="8"/>
  <c r="I10" i="8"/>
  <c r="H9" i="11"/>
  <c r="I17" i="13"/>
  <c r="H17" i="13"/>
  <c r="I16" i="13"/>
  <c r="D31" i="13"/>
  <c r="H16" i="13"/>
  <c r="D32" i="13"/>
  <c r="K10" i="13"/>
  <c r="N15" i="12"/>
  <c r="H15" i="12"/>
  <c r="D11" i="12"/>
  <c r="D10" i="12"/>
  <c r="D9" i="12"/>
  <c r="D8" i="12"/>
  <c r="D7" i="12"/>
  <c r="D6" i="12"/>
  <c r="D5" i="12"/>
  <c r="E5" i="12" s="1"/>
  <c r="D13" i="12"/>
  <c r="D29" i="12" s="1"/>
  <c r="D12" i="12"/>
  <c r="E12" i="12" s="1"/>
  <c r="B16" i="12"/>
  <c r="G64" i="8"/>
  <c r="F10" i="8"/>
  <c r="G10" i="8"/>
  <c r="H10" i="8"/>
  <c r="J10" i="8"/>
  <c r="K10" i="8"/>
  <c r="L10" i="8"/>
  <c r="D6" i="8"/>
  <c r="E6" i="8"/>
  <c r="F6" i="8"/>
  <c r="G6" i="8"/>
  <c r="H6" i="8"/>
  <c r="I6" i="8"/>
  <c r="J6" i="8"/>
  <c r="K6" i="8"/>
  <c r="L6" i="8"/>
  <c r="C6" i="8"/>
  <c r="C25" i="8" s="1"/>
  <c r="C18" i="11" s="1"/>
  <c r="L3" i="8"/>
  <c r="J3" i="8"/>
  <c r="K3" i="8"/>
  <c r="D3" i="8"/>
  <c r="E3" i="8"/>
  <c r="F3" i="8"/>
  <c r="G3" i="8"/>
  <c r="H3" i="8"/>
  <c r="I3" i="8"/>
  <c r="C3" i="8"/>
  <c r="B6" i="6"/>
  <c r="E1" i="6"/>
  <c r="K59" i="22" l="1"/>
  <c r="H59" i="22"/>
  <c r="G99" i="8"/>
  <c r="I99" i="8"/>
  <c r="K99" i="8"/>
  <c r="D40" i="11"/>
  <c r="J99" i="8"/>
  <c r="C41" i="11"/>
  <c r="O41" i="11" s="1"/>
  <c r="I4" i="23"/>
  <c r="H6" i="23"/>
  <c r="K52" i="22"/>
  <c r="E7" i="23" s="1"/>
  <c r="K51" i="22"/>
  <c r="L40" i="11"/>
  <c r="L66" i="8"/>
  <c r="E8" i="12"/>
  <c r="E10" i="12"/>
  <c r="N9" i="11"/>
  <c r="O4" i="12"/>
  <c r="O5" i="12" s="1"/>
  <c r="O6" i="12" s="1"/>
  <c r="O7" i="12" s="1"/>
  <c r="O8" i="12" s="1"/>
  <c r="O9" i="12" s="1"/>
  <c r="O10" i="12" s="1"/>
  <c r="O11" i="12" s="1"/>
  <c r="O12" i="12" s="1"/>
  <c r="O13" i="12" s="1"/>
  <c r="O14" i="12" s="1"/>
  <c r="O15" i="12" s="1"/>
  <c r="O16" i="12" s="1"/>
  <c r="O17" i="12" s="1"/>
  <c r="O18" i="12" s="1"/>
  <c r="I5" i="12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C66" i="8"/>
  <c r="C40" i="11"/>
  <c r="F29" i="11"/>
  <c r="F36" i="11" s="1"/>
  <c r="F39" i="11"/>
  <c r="F28" i="11"/>
  <c r="F35" i="11" s="1"/>
  <c r="F27" i="11"/>
  <c r="F34" i="11" s="1"/>
  <c r="F31" i="11"/>
  <c r="F30" i="11"/>
  <c r="C28" i="11"/>
  <c r="C27" i="11"/>
  <c r="C31" i="11"/>
  <c r="C39" i="11"/>
  <c r="C30" i="11"/>
  <c r="C29" i="11"/>
  <c r="E30" i="11"/>
  <c r="E29" i="11"/>
  <c r="E36" i="11" s="1"/>
  <c r="E39" i="11"/>
  <c r="E28" i="11"/>
  <c r="E35" i="11" s="1"/>
  <c r="E27" i="11"/>
  <c r="E34" i="11" s="1"/>
  <c r="E31" i="11"/>
  <c r="E6" i="12"/>
  <c r="D16" i="12"/>
  <c r="L31" i="11"/>
  <c r="L30" i="11"/>
  <c r="L29" i="11"/>
  <c r="L36" i="11" s="1"/>
  <c r="L39" i="11"/>
  <c r="L28" i="11"/>
  <c r="L35" i="11" s="1"/>
  <c r="L27" i="11"/>
  <c r="L34" i="11" s="1"/>
  <c r="D31" i="11"/>
  <c r="D30" i="11"/>
  <c r="D29" i="11"/>
  <c r="D36" i="11" s="1"/>
  <c r="D39" i="11"/>
  <c r="D28" i="11"/>
  <c r="D35" i="11" s="1"/>
  <c r="D27" i="11"/>
  <c r="D34" i="11" s="1"/>
  <c r="E7" i="12"/>
  <c r="E66" i="8"/>
  <c r="E40" i="11"/>
  <c r="D18" i="12"/>
  <c r="I31" i="11"/>
  <c r="I30" i="11"/>
  <c r="I29" i="11"/>
  <c r="I36" i="11" s="1"/>
  <c r="I39" i="11"/>
  <c r="I28" i="11"/>
  <c r="I35" i="11" s="1"/>
  <c r="I27" i="11"/>
  <c r="I34" i="11" s="1"/>
  <c r="F66" i="8"/>
  <c r="F40" i="11"/>
  <c r="D17" i="12"/>
  <c r="E17" i="12" s="1"/>
  <c r="H7" i="8"/>
  <c r="H5" i="11" s="1"/>
  <c r="H27" i="11"/>
  <c r="H34" i="11" s="1"/>
  <c r="H31" i="11"/>
  <c r="H30" i="11"/>
  <c r="H29" i="11"/>
  <c r="H36" i="11" s="1"/>
  <c r="H39" i="11"/>
  <c r="H28" i="11"/>
  <c r="H35" i="11" s="1"/>
  <c r="E11" i="12"/>
  <c r="K66" i="8"/>
  <c r="K40" i="11"/>
  <c r="G22" i="8"/>
  <c r="G39" i="11"/>
  <c r="G28" i="11"/>
  <c r="G35" i="11" s="1"/>
  <c r="G27" i="11"/>
  <c r="G34" i="11" s="1"/>
  <c r="G31" i="11"/>
  <c r="G30" i="11"/>
  <c r="G29" i="11"/>
  <c r="G36" i="11" s="1"/>
  <c r="E13" i="12"/>
  <c r="K22" i="8"/>
  <c r="K31" i="11"/>
  <c r="K30" i="11"/>
  <c r="K29" i="11"/>
  <c r="K36" i="11" s="1"/>
  <c r="K39" i="11"/>
  <c r="K28" i="11"/>
  <c r="K35" i="11" s="1"/>
  <c r="K27" i="11"/>
  <c r="K34" i="11" s="1"/>
  <c r="G66" i="8"/>
  <c r="G40" i="11"/>
  <c r="D15" i="12"/>
  <c r="J66" i="8"/>
  <c r="J40" i="11"/>
  <c r="J31" i="11"/>
  <c r="J30" i="11"/>
  <c r="J29" i="11"/>
  <c r="J36" i="11" s="1"/>
  <c r="J39" i="11"/>
  <c r="J28" i="11"/>
  <c r="J35" i="11" s="1"/>
  <c r="J27" i="11"/>
  <c r="J34" i="11" s="1"/>
  <c r="H66" i="8"/>
  <c r="H40" i="11"/>
  <c r="E9" i="12"/>
  <c r="K16" i="13"/>
  <c r="K17" i="13"/>
  <c r="K30" i="13" s="1"/>
  <c r="N16" i="12"/>
  <c r="H16" i="12"/>
  <c r="B17" i="12"/>
  <c r="C22" i="8"/>
  <c r="C12" i="8"/>
  <c r="C18" i="8" s="1"/>
  <c r="L12" i="8"/>
  <c r="L18" i="8" s="1"/>
  <c r="L25" i="8"/>
  <c r="L18" i="11" s="1"/>
  <c r="J7" i="8"/>
  <c r="J5" i="11" s="1"/>
  <c r="J12" i="8"/>
  <c r="J18" i="8" s="1"/>
  <c r="J22" i="8"/>
  <c r="J25" i="8"/>
  <c r="J18" i="11" s="1"/>
  <c r="G12" i="8"/>
  <c r="G18" i="8" s="1"/>
  <c r="G25" i="8"/>
  <c r="G18" i="11" s="1"/>
  <c r="F7" i="8"/>
  <c r="F5" i="11" s="1"/>
  <c r="F12" i="8"/>
  <c r="F18" i="8" s="1"/>
  <c r="F25" i="8"/>
  <c r="F18" i="11" s="1"/>
  <c r="E12" i="8"/>
  <c r="E18" i="8" s="1"/>
  <c r="E25" i="8"/>
  <c r="E18" i="11" s="1"/>
  <c r="D12" i="8"/>
  <c r="D18" i="8" s="1"/>
  <c r="D25" i="8"/>
  <c r="D18" i="11" s="1"/>
  <c r="K12" i="8"/>
  <c r="K18" i="8" s="1"/>
  <c r="K25" i="8"/>
  <c r="K18" i="11" s="1"/>
  <c r="I7" i="8"/>
  <c r="I5" i="11" s="1"/>
  <c r="I22" i="8"/>
  <c r="I12" i="8"/>
  <c r="I18" i="8" s="1"/>
  <c r="E22" i="8"/>
  <c r="L22" i="8"/>
  <c r="H22" i="8"/>
  <c r="H12" i="8"/>
  <c r="H18" i="8" s="1"/>
  <c r="H25" i="8"/>
  <c r="H18" i="11" s="1"/>
  <c r="I25" i="8"/>
  <c r="I18" i="11" s="1"/>
  <c r="D22" i="8"/>
  <c r="F22" i="8"/>
  <c r="G16" i="8"/>
  <c r="G17" i="11" s="1"/>
  <c r="J16" i="8"/>
  <c r="J17" i="11" s="1"/>
  <c r="D16" i="8"/>
  <c r="D17" i="11" s="1"/>
  <c r="K7" i="8"/>
  <c r="K5" i="11" s="1"/>
  <c r="E16" i="8"/>
  <c r="E17" i="11" s="1"/>
  <c r="C16" i="8"/>
  <c r="C17" i="11" s="1"/>
  <c r="H16" i="8"/>
  <c r="H17" i="11" s="1"/>
  <c r="L16" i="8"/>
  <c r="L17" i="11" s="1"/>
  <c r="F16" i="8"/>
  <c r="F17" i="11" s="1"/>
  <c r="D7" i="8"/>
  <c r="D5" i="11" s="1"/>
  <c r="L7" i="8"/>
  <c r="L5" i="11" s="1"/>
  <c r="I16" i="8"/>
  <c r="I17" i="11" s="1"/>
  <c r="E7" i="8"/>
  <c r="E5" i="11" s="1"/>
  <c r="G7" i="8"/>
  <c r="G5" i="11" s="1"/>
  <c r="K16" i="8"/>
  <c r="K17" i="11" s="1"/>
  <c r="K61" i="22" l="1"/>
  <c r="K62" i="22"/>
  <c r="F7" i="23"/>
  <c r="E8" i="23"/>
  <c r="N41" i="11"/>
  <c r="J4" i="23"/>
  <c r="J6" i="23" s="1"/>
  <c r="J8" i="23" s="1"/>
  <c r="I6" i="23"/>
  <c r="D31" i="12"/>
  <c r="E15" i="12"/>
  <c r="E37" i="11"/>
  <c r="C13" i="8"/>
  <c r="C11" i="11" s="1"/>
  <c r="G13" i="8"/>
  <c r="G11" i="11" s="1"/>
  <c r="K37" i="11"/>
  <c r="N18" i="11"/>
  <c r="G37" i="11"/>
  <c r="I37" i="11"/>
  <c r="L37" i="11"/>
  <c r="K13" i="8"/>
  <c r="K11" i="11" s="1"/>
  <c r="H37" i="11"/>
  <c r="E18" i="12"/>
  <c r="D19" i="8"/>
  <c r="D12" i="11" s="1"/>
  <c r="D13" i="11"/>
  <c r="D19" i="11" s="1"/>
  <c r="D25" i="11"/>
  <c r="D21" i="11"/>
  <c r="D6" i="11"/>
  <c r="F19" i="8"/>
  <c r="F12" i="11" s="1"/>
  <c r="F13" i="11"/>
  <c r="F19" i="11" s="1"/>
  <c r="F25" i="11"/>
  <c r="F21" i="11"/>
  <c r="F6" i="11"/>
  <c r="L19" i="8"/>
  <c r="L12" i="11" s="1"/>
  <c r="L6" i="11"/>
  <c r="L13" i="11"/>
  <c r="L19" i="11" s="1"/>
  <c r="L25" i="11"/>
  <c r="L21" i="11"/>
  <c r="N5" i="11"/>
  <c r="O5" i="11"/>
  <c r="O31" i="11"/>
  <c r="N31" i="11"/>
  <c r="O17" i="11"/>
  <c r="N17" i="11"/>
  <c r="J37" i="11"/>
  <c r="O27" i="11"/>
  <c r="N27" i="11"/>
  <c r="C34" i="11"/>
  <c r="I19" i="8"/>
  <c r="I12" i="11" s="1"/>
  <c r="I6" i="11"/>
  <c r="I13" i="11"/>
  <c r="I19" i="11" s="1"/>
  <c r="I25" i="11"/>
  <c r="I21" i="11"/>
  <c r="E19" i="8"/>
  <c r="E12" i="11" s="1"/>
  <c r="E6" i="11"/>
  <c r="E13" i="11"/>
  <c r="E19" i="11" s="1"/>
  <c r="E25" i="11"/>
  <c r="E21" i="11"/>
  <c r="J19" i="8"/>
  <c r="J12" i="11" s="1"/>
  <c r="J6" i="11"/>
  <c r="J13" i="11"/>
  <c r="J19" i="11" s="1"/>
  <c r="J25" i="11"/>
  <c r="J21" i="11"/>
  <c r="D37" i="11"/>
  <c r="N28" i="11"/>
  <c r="C35" i="11"/>
  <c r="O28" i="11"/>
  <c r="O18" i="11"/>
  <c r="F37" i="11"/>
  <c r="C36" i="11"/>
  <c r="N29" i="11"/>
  <c r="O29" i="11"/>
  <c r="H19" i="8"/>
  <c r="H12" i="11" s="1"/>
  <c r="H21" i="11"/>
  <c r="H6" i="11"/>
  <c r="H13" i="11"/>
  <c r="H19" i="11" s="1"/>
  <c r="H25" i="11"/>
  <c r="K19" i="8"/>
  <c r="K12" i="11" s="1"/>
  <c r="K6" i="11"/>
  <c r="K13" i="11"/>
  <c r="K19" i="11" s="1"/>
  <c r="K25" i="11"/>
  <c r="K21" i="11"/>
  <c r="C19" i="8"/>
  <c r="C12" i="11" s="1"/>
  <c r="C21" i="11"/>
  <c r="J4" i="12" a="1"/>
  <c r="C25" i="11"/>
  <c r="C13" i="11"/>
  <c r="N30" i="11"/>
  <c r="O30" i="11"/>
  <c r="D28" i="12"/>
  <c r="N40" i="11"/>
  <c r="O40" i="11"/>
  <c r="E16" i="12"/>
  <c r="G19" i="8"/>
  <c r="G12" i="11" s="1"/>
  <c r="G25" i="11"/>
  <c r="G21" i="11"/>
  <c r="G6" i="11"/>
  <c r="G13" i="11"/>
  <c r="G19" i="11" s="1"/>
  <c r="N39" i="11"/>
  <c r="O39" i="11"/>
  <c r="D16" i="23"/>
  <c r="N17" i="12"/>
  <c r="H17" i="12"/>
  <c r="B18" i="12"/>
  <c r="J13" i="8"/>
  <c r="J11" i="11" s="1"/>
  <c r="E13" i="8"/>
  <c r="E11" i="11" s="1"/>
  <c r="H13" i="8"/>
  <c r="H11" i="11" s="1"/>
  <c r="C27" i="8"/>
  <c r="K27" i="8"/>
  <c r="D13" i="8"/>
  <c r="D11" i="11" s="1"/>
  <c r="I13" i="8"/>
  <c r="I11" i="11" s="1"/>
  <c r="F13" i="8"/>
  <c r="F11" i="11" s="1"/>
  <c r="L13" i="8"/>
  <c r="L11" i="11" s="1"/>
  <c r="G27" i="8"/>
  <c r="G10" i="23" l="1"/>
  <c r="F10" i="23"/>
  <c r="H10" i="23"/>
  <c r="I10" i="23"/>
  <c r="J10" i="23"/>
  <c r="J12" i="23" s="1"/>
  <c r="G7" i="23"/>
  <c r="F8" i="23"/>
  <c r="D20" i="23"/>
  <c r="O11" i="11"/>
  <c r="N11" i="11"/>
  <c r="O36" i="11"/>
  <c r="N36" i="11"/>
  <c r="N21" i="11"/>
  <c r="O21" i="11"/>
  <c r="O6" i="11"/>
  <c r="N6" i="11"/>
  <c r="O12" i="11"/>
  <c r="N12" i="11"/>
  <c r="O25" i="11"/>
  <c r="N25" i="11"/>
  <c r="N34" i="11"/>
  <c r="O34" i="11"/>
  <c r="C19" i="11"/>
  <c r="N13" i="11"/>
  <c r="O13" i="11"/>
  <c r="J4" i="12"/>
  <c r="J9" i="12"/>
  <c r="J10" i="12"/>
  <c r="J11" i="12"/>
  <c r="K11" i="12" s="1"/>
  <c r="J13" i="12"/>
  <c r="J5" i="12"/>
  <c r="J6" i="12"/>
  <c r="K6" i="12" s="1"/>
  <c r="J7" i="12"/>
  <c r="J8" i="12"/>
  <c r="J12" i="12"/>
  <c r="O35" i="11"/>
  <c r="N35" i="11"/>
  <c r="C37" i="11"/>
  <c r="C31" i="8"/>
  <c r="C28" i="8"/>
  <c r="C14" i="11" s="1"/>
  <c r="N18" i="12"/>
  <c r="H18" i="12"/>
  <c r="K28" i="8"/>
  <c r="K14" i="11" s="1"/>
  <c r="K31" i="8"/>
  <c r="G28" i="8"/>
  <c r="G14" i="11" s="1"/>
  <c r="G31" i="8"/>
  <c r="I27" i="8"/>
  <c r="H27" i="8"/>
  <c r="H7" i="11" s="1"/>
  <c r="K33" i="8"/>
  <c r="C33" i="8"/>
  <c r="F27" i="8"/>
  <c r="G33" i="8"/>
  <c r="D27" i="8"/>
  <c r="D7" i="11" s="1"/>
  <c r="E27" i="8"/>
  <c r="L27" i="8"/>
  <c r="L7" i="11" s="1"/>
  <c r="J27" i="8"/>
  <c r="J7" i="11" s="1"/>
  <c r="F12" i="23" l="1"/>
  <c r="H7" i="23"/>
  <c r="G8" i="23"/>
  <c r="G12" i="23" s="1"/>
  <c r="K7" i="12"/>
  <c r="F7" i="11"/>
  <c r="K8" i="12"/>
  <c r="C34" i="8"/>
  <c r="C15" i="11" s="1"/>
  <c r="C23" i="11"/>
  <c r="G7" i="11"/>
  <c r="K7" i="11"/>
  <c r="N19" i="11"/>
  <c r="O19" i="11"/>
  <c r="K34" i="8"/>
  <c r="K15" i="11" s="1"/>
  <c r="K23" i="11"/>
  <c r="O37" i="11"/>
  <c r="N37" i="11"/>
  <c r="J17" i="12"/>
  <c r="J16" i="12"/>
  <c r="J15" i="12"/>
  <c r="J14" i="12"/>
  <c r="K14" i="12" s="1"/>
  <c r="J18" i="12"/>
  <c r="K5" i="12"/>
  <c r="I7" i="11"/>
  <c r="K10" i="12"/>
  <c r="E7" i="11"/>
  <c r="K13" i="12"/>
  <c r="K12" i="12"/>
  <c r="K9" i="12"/>
  <c r="G34" i="8"/>
  <c r="G15" i="11" s="1"/>
  <c r="G23" i="11"/>
  <c r="H28" i="8"/>
  <c r="H14" i="11" s="1"/>
  <c r="H31" i="8"/>
  <c r="I28" i="8"/>
  <c r="I14" i="11" s="1"/>
  <c r="I31" i="8"/>
  <c r="D28" i="8"/>
  <c r="D14" i="11" s="1"/>
  <c r="D31" i="8"/>
  <c r="J28" i="8"/>
  <c r="J14" i="11" s="1"/>
  <c r="J31" i="8"/>
  <c r="L28" i="8"/>
  <c r="L14" i="11" s="1"/>
  <c r="L31" i="8"/>
  <c r="E31" i="8"/>
  <c r="E28" i="8"/>
  <c r="E14" i="11" s="1"/>
  <c r="F31" i="8"/>
  <c r="F28" i="8"/>
  <c r="F14" i="11" s="1"/>
  <c r="C38" i="8"/>
  <c r="K38" i="8"/>
  <c r="F33" i="8"/>
  <c r="G8" i="11" s="1"/>
  <c r="H33" i="8"/>
  <c r="H8" i="11" s="1"/>
  <c r="E33" i="8"/>
  <c r="I33" i="8"/>
  <c r="J33" i="8"/>
  <c r="G38" i="8"/>
  <c r="L33" i="8"/>
  <c r="D33" i="8"/>
  <c r="I7" i="23" l="1"/>
  <c r="I8" i="23" s="1"/>
  <c r="I12" i="23" s="1"/>
  <c r="H8" i="23"/>
  <c r="H12" i="23" s="1"/>
  <c r="O7" i="11"/>
  <c r="N14" i="11"/>
  <c r="K18" i="12"/>
  <c r="D34" i="8"/>
  <c r="D15" i="11" s="1"/>
  <c r="D23" i="11"/>
  <c r="D8" i="11"/>
  <c r="N7" i="11"/>
  <c r="C24" i="11"/>
  <c r="E23" i="11"/>
  <c r="E8" i="11"/>
  <c r="E34" i="8"/>
  <c r="E15" i="11" s="1"/>
  <c r="H23" i="11"/>
  <c r="H34" i="8"/>
  <c r="H15" i="11" s="1"/>
  <c r="F23" i="11"/>
  <c r="F8" i="11"/>
  <c r="F34" i="8"/>
  <c r="F15" i="11" s="1"/>
  <c r="N15" i="11" s="1"/>
  <c r="K15" i="12"/>
  <c r="K16" i="12"/>
  <c r="L34" i="8"/>
  <c r="L15" i="11" s="1"/>
  <c r="L23" i="11"/>
  <c r="L8" i="11"/>
  <c r="K17" i="12"/>
  <c r="J34" i="8"/>
  <c r="J15" i="11" s="1"/>
  <c r="J23" i="11"/>
  <c r="N23" i="11" s="1"/>
  <c r="J8" i="11"/>
  <c r="I8" i="11"/>
  <c r="I34" i="8"/>
  <c r="I15" i="11" s="1"/>
  <c r="I23" i="11"/>
  <c r="K8" i="11"/>
  <c r="O14" i="11"/>
  <c r="G42" i="8"/>
  <c r="G44" i="8" s="1"/>
  <c r="G22" i="11" s="1"/>
  <c r="G24" i="11" s="1"/>
  <c r="K42" i="8"/>
  <c r="K44" i="8" s="1"/>
  <c r="K22" i="11" s="1"/>
  <c r="K24" i="11" s="1"/>
  <c r="C42" i="8"/>
  <c r="C44" i="8" s="1"/>
  <c r="C22" i="11" s="1"/>
  <c r="I38" i="8"/>
  <c r="L38" i="8"/>
  <c r="F38" i="8"/>
  <c r="E38" i="8"/>
  <c r="J38" i="8"/>
  <c r="D38" i="8"/>
  <c r="H38" i="8"/>
  <c r="D29" i="23" l="1"/>
  <c r="P4" i="12" a="1"/>
  <c r="P4" i="12"/>
  <c r="P9" i="12"/>
  <c r="P10" i="12"/>
  <c r="Q10" i="12" s="1"/>
  <c r="P11" i="12"/>
  <c r="P6" i="12"/>
  <c r="P8" i="12"/>
  <c r="P7" i="12"/>
  <c r="P13" i="12"/>
  <c r="P5" i="12"/>
  <c r="Q5" i="12" s="1"/>
  <c r="P12" i="12"/>
  <c r="O15" i="11"/>
  <c r="N8" i="11"/>
  <c r="O8" i="11"/>
  <c r="O23" i="11"/>
  <c r="D39" i="8"/>
  <c r="D42" i="8"/>
  <c r="D44" i="8" s="1"/>
  <c r="D22" i="11" s="1"/>
  <c r="D24" i="11" s="1"/>
  <c r="J39" i="8"/>
  <c r="J42" i="8"/>
  <c r="J44" i="8" s="1"/>
  <c r="J22" i="11" s="1"/>
  <c r="J24" i="11" s="1"/>
  <c r="L39" i="8"/>
  <c r="L42" i="8"/>
  <c r="L44" i="8" s="1"/>
  <c r="L22" i="11" s="1"/>
  <c r="L24" i="11" s="1"/>
  <c r="I42" i="8"/>
  <c r="I44" i="8" s="1"/>
  <c r="I22" i="11" s="1"/>
  <c r="I24" i="11" s="1"/>
  <c r="H39" i="8"/>
  <c r="H42" i="8"/>
  <c r="H44" i="8" s="1"/>
  <c r="H22" i="11" s="1"/>
  <c r="H24" i="11" s="1"/>
  <c r="E42" i="8"/>
  <c r="E44" i="8" s="1"/>
  <c r="E22" i="11" s="1"/>
  <c r="E24" i="11" s="1"/>
  <c r="F42" i="8"/>
  <c r="F44" i="8" s="1"/>
  <c r="F22" i="11" s="1"/>
  <c r="F24" i="11" s="1"/>
  <c r="F39" i="8"/>
  <c r="I39" i="8"/>
  <c r="E39" i="8"/>
  <c r="K39" i="8"/>
  <c r="G39" i="8"/>
  <c r="O24" i="11" l="1"/>
  <c r="N24" i="11"/>
  <c r="Q13" i="12"/>
  <c r="P17" i="12"/>
  <c r="P16" i="12"/>
  <c r="P15" i="12"/>
  <c r="P14" i="12"/>
  <c r="Q14" i="12" s="1"/>
  <c r="P18" i="12"/>
  <c r="Q18" i="12" s="1"/>
  <c r="N22" i="11"/>
  <c r="Q6" i="12"/>
  <c r="Q11" i="12"/>
  <c r="Q8" i="12"/>
  <c r="Q7" i="12"/>
  <c r="O22" i="11"/>
  <c r="Q12" i="12"/>
  <c r="Q9" i="12"/>
  <c r="Q15" i="12" l="1"/>
  <c r="Q17" i="12"/>
  <c r="Q16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<sst xmlns="http://schemas.openxmlformats.org/spreadsheetml/2006/main" count="665" uniqueCount="338">
  <si>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</si>
  <si>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</si>
  <si>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</si>
  <si>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</si>
  <si>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</si>
  <si>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</si>
  <si>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</si>
  <si>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</si>
  <si>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</si>
  <si>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</si>
  <si>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</si>
  <si>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</si>
  <si>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</si>
  <si>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</si>
  <si>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</si>
  <si>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</si>
  <si>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</si>
  <si>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</si>
  <si>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</si>
  <si>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</si>
  <si>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</si>
  <si>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</si>
  <si>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</si>
  <si>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</si>
  <si>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</si>
  <si>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</si>
  <si>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</si>
  <si>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</si>
  <si>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</si>
  <si>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</si>
  <si>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</si>
  <si>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</si>
  <si>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</si>
  <si>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INFOSYS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</si>
  <si>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</si>
  <si>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</si>
  <si>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</si>
  <si>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</si>
  <si>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</si>
  <si>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</si>
  <si>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</si>
  <si>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</si>
  <si>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</si>
  <si>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</si>
  <si>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</si>
  <si>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</si>
  <si>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</si>
  <si>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</si>
  <si>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</si>
  <si>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</si>
  <si>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</si>
  <si>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</si>
  <si>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</si>
  <si>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</si>
  <si>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</si>
  <si>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</si>
  <si>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#</t>
  </si>
  <si>
    <t>Income Statement</t>
  </si>
  <si>
    <t>-</t>
  </si>
  <si>
    <t>COGS</t>
  </si>
  <si>
    <t>COGS % Sales</t>
  </si>
  <si>
    <t>Selling &amp; General Expenses</t>
  </si>
  <si>
    <t>EBITDA</t>
  </si>
  <si>
    <t>EBITDA Margins</t>
  </si>
  <si>
    <t>Interest % Sales</t>
  </si>
  <si>
    <t>Depreciation % Sales</t>
  </si>
  <si>
    <t>EBT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</si>
  <si>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</si>
  <si>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</si>
  <si>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</si>
  <si>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</si>
  <si>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</si>
  <si>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</si>
  <si>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</si>
  <si>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</si>
  <si>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</si>
  <si>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</si>
  <si>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</si>
  <si>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</si>
  <si>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</si>
  <si>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</si>
  <si>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</si>
  <si>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Inter corporate deposits</t>
  </si>
  <si>
    <t>Other investing items</t>
  </si>
  <si>
    <t>Cash from Financing Activity -</t>
  </si>
  <si>
    <t>Proceeds from shares</t>
  </si>
  <si>
    <t>Repayment of borrowings</t>
  </si>
  <si>
    <t>Dividends paid</t>
  </si>
  <si>
    <t>Financial liabilities</t>
  </si>
  <si>
    <t>Other financing items</t>
  </si>
  <si>
    <t>Gross Profit</t>
  </si>
  <si>
    <t>S&amp;G Expenses % Sales</t>
  </si>
  <si>
    <t>Gross Profit Margins</t>
  </si>
  <si>
    <t>EBT % Sales</t>
  </si>
  <si>
    <t>Effective Tax Rate</t>
  </si>
  <si>
    <t>Net Profit</t>
  </si>
  <si>
    <t>Net Margins</t>
  </si>
  <si>
    <t>EPS</t>
  </si>
  <si>
    <t>Divident Per Share</t>
  </si>
  <si>
    <t>EPS Growth %</t>
  </si>
  <si>
    <t>Divident Payout Ratio</t>
  </si>
  <si>
    <t>Retained Earnings</t>
  </si>
  <si>
    <t xml:space="preserve">Balance Sheet 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</si>
  <si>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</si>
  <si>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</si>
  <si>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</si>
  <si>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</si>
  <si>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</si>
  <si>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</si>
  <si>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Cash Flow Statement</t>
  </si>
  <si>
    <t>Cash From Operating Activities</t>
  </si>
  <si>
    <t>Operating Activities</t>
  </si>
  <si>
    <t>Investing Activities</t>
  </si>
  <si>
    <t>Cash From Investing Activities</t>
  </si>
  <si>
    <t>Financing Activities</t>
  </si>
  <si>
    <t>Cash From Financing Activities</t>
  </si>
  <si>
    <t>EBITDA Growth</t>
  </si>
  <si>
    <t>EBIT Growth</t>
  </si>
  <si>
    <t>Net Profit Growth</t>
  </si>
  <si>
    <t>Divident Growth</t>
  </si>
  <si>
    <t>Gross Margin</t>
  </si>
  <si>
    <t>EBITDA Margin</t>
  </si>
  <si>
    <t>EBIT Margin</t>
  </si>
  <si>
    <t>EBT Margin</t>
  </si>
  <si>
    <t>Net Profit Margin</t>
  </si>
  <si>
    <t>Sales Expenses % Sales</t>
  </si>
  <si>
    <t>Operating Income % Sales</t>
  </si>
  <si>
    <t>Return on Capital Employed</t>
  </si>
  <si>
    <t>Retained Earnings %</t>
  </si>
  <si>
    <t>Return on Equity %</t>
  </si>
  <si>
    <t>Self Sustained Growth Rate</t>
  </si>
  <si>
    <t>Interest Coverage Ratio</t>
  </si>
  <si>
    <t>Debtor Turnover Ratio</t>
  </si>
  <si>
    <t>Creditor Turnover Ratio</t>
  </si>
  <si>
    <t>Inventory Turnover Ratio</t>
  </si>
  <si>
    <t>Fixed Assets Turnover</t>
  </si>
  <si>
    <t>Capital Turnover Ratio</t>
  </si>
  <si>
    <t>Debtor Days</t>
  </si>
  <si>
    <t>Payable Days</t>
  </si>
  <si>
    <t>Inventory Days</t>
  </si>
  <si>
    <t>Cash Conversion Cycle</t>
  </si>
  <si>
    <t>CFO/Sales</t>
  </si>
  <si>
    <t>CFO/Total Assets</t>
  </si>
  <si>
    <t>CFO/Total Debt</t>
  </si>
  <si>
    <t>(in days)</t>
  </si>
  <si>
    <t>Mean</t>
  </si>
  <si>
    <t>Median</t>
  </si>
  <si>
    <t>Trand</t>
  </si>
  <si>
    <t>Year Weight</t>
  </si>
  <si>
    <t>Year</t>
  </si>
  <si>
    <t>Arthematic Growth</t>
  </si>
  <si>
    <t>Geometric Growth</t>
  </si>
  <si>
    <t>Standard Deviation</t>
  </si>
  <si>
    <t>(Why we should not take these)</t>
  </si>
  <si>
    <t>Done by linear forecasting</t>
  </si>
  <si>
    <t>Weighted Average Cost of Capital</t>
  </si>
  <si>
    <t>All figures are in INR unless stated otherwise.</t>
  </si>
  <si>
    <t xml:space="preserve">  </t>
  </si>
  <si>
    <t>Peer Companies</t>
  </si>
  <si>
    <t>Name of Companies</t>
  </si>
  <si>
    <t>Countary</t>
  </si>
  <si>
    <t>Total Debts</t>
  </si>
  <si>
    <t>Total Equity</t>
  </si>
  <si>
    <t>Debt /</t>
  </si>
  <si>
    <t>Equity</t>
  </si>
  <si>
    <t>Capital</t>
  </si>
  <si>
    <t>Levered</t>
  </si>
  <si>
    <t>India</t>
  </si>
  <si>
    <t>Average</t>
  </si>
  <si>
    <t>Cost of Debt</t>
  </si>
  <si>
    <t xml:space="preserve">Pre-Tax Cost of Debt </t>
  </si>
  <si>
    <t>Tax Rate</t>
  </si>
  <si>
    <t xml:space="preserve">Post-Tax Cost of Debt </t>
  </si>
  <si>
    <t>Cost of Equity</t>
  </si>
  <si>
    <t>Risk Free Rate</t>
  </si>
  <si>
    <t>Equity Risk Premium</t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</si>
  <si>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4</t>
    </r>
  </si>
  <si>
    <t>Capital Structure</t>
  </si>
  <si>
    <t>Current</t>
  </si>
  <si>
    <t>Target</t>
  </si>
  <si>
    <t>Total Debt</t>
  </si>
  <si>
    <t>Total Capital</t>
  </si>
  <si>
    <t>Levered Beta</t>
  </si>
  <si>
    <t>Comps Median Unlevered Beta</t>
  </si>
  <si>
    <t>Target Debt /Equity</t>
  </si>
  <si>
    <t>Debt/ Equity</t>
  </si>
  <si>
    <t>Unlevered</t>
  </si>
  <si>
    <t>Notes:</t>
  </si>
  <si>
    <t>1. Tax Rate considered as Marginal Tax Rate for the countary</t>
  </si>
  <si>
    <t>2. Levered Beta is based on 5 year monthly data</t>
  </si>
  <si>
    <t>3. Unlevered beta = Levered Beta/1+(1- Tax Rate)*Debt/ Equity)</t>
  </si>
  <si>
    <t>4. Levered beta = Unlevered Beta*1+(1- Tax Rate)*Debt/ Equity)</t>
  </si>
  <si>
    <t>Date</t>
  </si>
  <si>
    <t>Adj. Close</t>
  </si>
  <si>
    <t>Infosys Monthly Return</t>
  </si>
  <si>
    <t>Closing Price</t>
  </si>
  <si>
    <t>Return</t>
  </si>
  <si>
    <t>NIFTY Monthly Return</t>
  </si>
  <si>
    <t>Beta 1</t>
  </si>
  <si>
    <t>Beta 2</t>
  </si>
  <si>
    <t>Beta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</si>
  <si>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</si>
  <si>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</si>
  <si>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</si>
  <si>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</si>
  <si>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</si>
  <si>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</si>
  <si>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</si>
  <si>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</si>
  <si>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</si>
  <si>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</si>
  <si>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</si>
  <si>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</si>
  <si>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</si>
  <si>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</si>
  <si>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</si>
  <si>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</si>
  <si>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</si>
  <si>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</si>
  <si>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</si>
  <si>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</si>
  <si>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</si>
  <si>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</si>
  <si>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</si>
  <si>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</si>
  <si>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 Drifting</t>
  </si>
  <si>
    <t>Levered Raw Beta</t>
  </si>
  <si>
    <t>Raw Beta Weight</t>
  </si>
  <si>
    <t>Market Beta Weight</t>
  </si>
  <si>
    <t>Market Beta</t>
  </si>
  <si>
    <t>Adjusted Beta</t>
  </si>
  <si>
    <t>Regression Beta - 5 Years Monthly</t>
  </si>
  <si>
    <t>TCS</t>
  </si>
  <si>
    <t>Infosys</t>
  </si>
  <si>
    <t>HCL Technologies</t>
  </si>
  <si>
    <t>Wipro</t>
  </si>
  <si>
    <t>LTIMindtree</t>
  </si>
  <si>
    <t>S.No.</t>
  </si>
  <si>
    <t>Name</t>
  </si>
  <si>
    <t>CMP Rs.</t>
  </si>
  <si>
    <t xml:space="preserve">Mar Cap Rs.Cr. </t>
  </si>
  <si>
    <t>Debt Rs.Cr.</t>
  </si>
  <si>
    <t>Debt / Eq</t>
  </si>
  <si>
    <t>Infosys Data</t>
  </si>
  <si>
    <t>NIFTY Data</t>
  </si>
  <si>
    <t>TSC Data</t>
  </si>
  <si>
    <t>Wipro Data</t>
  </si>
  <si>
    <t>HCL Technologies Data</t>
  </si>
  <si>
    <t>LTIMindtree Data</t>
  </si>
  <si>
    <t>TCS Monthly Return</t>
  </si>
  <si>
    <t>HCL Technologies Monthly Return</t>
  </si>
  <si>
    <t>Wipro Monthly Return</t>
  </si>
  <si>
    <t>LTIMindtree Monthly Return</t>
  </si>
  <si>
    <t>Annual</t>
  </si>
  <si>
    <t>Return on Markets</t>
  </si>
  <si>
    <t>Average Return</t>
  </si>
  <si>
    <t>Divident Yield</t>
  </si>
  <si>
    <r>
      <t>1.28%</t>
    </r>
    <r>
      <rPr>
        <vertAlign val="superscript"/>
        <sz val="11"/>
        <color theme="1"/>
        <rFont val="Calibri"/>
        <family val="2"/>
        <scheme val="minor"/>
      </rPr>
      <t xml:space="preserve"> 1</t>
    </r>
  </si>
  <si>
    <t>Total Market Return</t>
  </si>
  <si>
    <t>Equity Weight</t>
  </si>
  <si>
    <t>Debt Weight</t>
  </si>
  <si>
    <t>WACC</t>
  </si>
  <si>
    <r>
      <t>Tax Rate</t>
    </r>
    <r>
      <rPr>
        <b/>
        <vertAlign val="superscript"/>
        <sz val="11"/>
        <color theme="1"/>
        <rFont val="Calibri"/>
        <family val="2"/>
        <scheme val="minor"/>
      </rPr>
      <t xml:space="preserve"> 1</t>
    </r>
  </si>
  <si>
    <r>
      <t xml:space="preserve">Beta 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</si>
  <si>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 xml:space="preserve">Beta 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</si>
  <si>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Particulars</t>
  </si>
  <si>
    <t>Equity Capital</t>
  </si>
  <si>
    <t>Borrowings -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</si>
  <si>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</si>
  <si>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</si>
  <si>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</si>
  <si>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</si>
  <si>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</si>
  <si>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</si>
  <si>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</si>
  <si>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</si>
  <si>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</si>
  <si>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</si>
  <si>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</si>
  <si>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</si>
  <si>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</si>
  <si>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</si>
  <si>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</si>
  <si>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</si>
  <si>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</si>
  <si>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</si>
  <si>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</si>
  <si>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</si>
  <si>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Trade receivables</t>
  </si>
  <si>
    <t>Cash Equivalents</t>
  </si>
  <si>
    <t>Loans n Advances</t>
  </si>
  <si>
    <t>Other asset items</t>
  </si>
  <si>
    <t>Calculation of Return on Investment and Capital</t>
  </si>
  <si>
    <t>Current Asstes</t>
  </si>
  <si>
    <t>Total Current Asstes</t>
  </si>
  <si>
    <t>Current Liabilities</t>
  </si>
  <si>
    <t>Total Current Liabilities</t>
  </si>
  <si>
    <t>Net Working Capital</t>
  </si>
  <si>
    <t>Non Current Assets</t>
  </si>
  <si>
    <t>Accmulated Depreciation</t>
  </si>
  <si>
    <t>Net Non Current Assets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</si>
  <si>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</si>
  <si>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</si>
  <si>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</si>
  <si>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</si>
  <si>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</si>
  <si>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</si>
  <si>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</si>
  <si>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Reinvestment</t>
  </si>
  <si>
    <t>EBIT(1-Tax)</t>
  </si>
  <si>
    <t>Reinvestment Rate</t>
  </si>
  <si>
    <t>4 Year Average</t>
  </si>
  <si>
    <t>4 Year Median</t>
  </si>
  <si>
    <t>Calculation of Growth Rate</t>
  </si>
  <si>
    <t>Intrisic Growth</t>
  </si>
  <si>
    <t>Calculation of PV of FCFF</t>
  </si>
  <si>
    <t>Less: Reinvestment Rate</t>
  </si>
  <si>
    <t>Free Cash Flow to Firm (FCFF)</t>
  </si>
  <si>
    <t>Min Year Convention</t>
  </si>
  <si>
    <t>Discounting Factor</t>
  </si>
  <si>
    <t>PV of FCFF</t>
  </si>
  <si>
    <t>Expected Growth</t>
  </si>
  <si>
    <t>Terminal Growth</t>
  </si>
  <si>
    <t>Calculation of Terminal Value</t>
  </si>
  <si>
    <t>FCFF (n+1)</t>
  </si>
  <si>
    <t>Terminal Growth Rate</t>
  </si>
  <si>
    <t>Terminal Value</t>
  </si>
  <si>
    <t>PV of Terminal Value</t>
  </si>
  <si>
    <t>Value of Operating Assets</t>
  </si>
  <si>
    <t>Add: Cash</t>
  </si>
  <si>
    <t>Less: Debt</t>
  </si>
  <si>
    <t>Calculation of Equity Value per Share</t>
  </si>
  <si>
    <t>Value of Equity</t>
  </si>
  <si>
    <t>No. of Shares</t>
  </si>
  <si>
    <t>Equity Value per Share</t>
  </si>
  <si>
    <t>Share Price</t>
  </si>
  <si>
    <t>Discount/Premium</t>
  </si>
  <si>
    <t>Praticulars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</si>
</sst>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#,##0.0\);\-"/>
    <numFmt numFmtId="167" formatCode="&quot;₹&quot;\ #,##0.0"/>
    <numFmt numFmtId="168" formatCode="0.00&quot;x&quot;"/>
    <numFmt numFmtId="169" formatCode="#,##0.0"/>
    <numFmt numFmtId="170" formatCode="yyyy&quot;A&quot;"/>
    <numFmt numFmtId="171" formatCode="yyyy&quot;E&quot;"/>
    <numFmt numFmtId="172" formatCode="[$-F800]dddd\,\ mmmm\ dd\,\ yyyy"/>
    <numFmt numFmtId="173" formatCode="0.000"/>
    <numFmt numFmtId="174" formatCode="#,##0.0;\(#,##0.0\);\-"/>
    <numFmt numFmtId="175" formatCode="mmm/yy&quot;A&quot;"/>
    <numFmt numFmtId="176" formatCode="mmm/yy&quot;F&quot;"/>
    <numFmt numFmtId="177" formatCode="0.00\x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theme="7" tint="-0.499984740745262"/>
      </top>
      <bottom/>
      <diagonal/>
    </border>
    <border>
      <left/>
      <right/>
      <top/>
      <bottom style="hair">
        <color theme="7" tint="-0.499984740745262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thick">
        <color rgb="FF002060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164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0" fontId="7" fillId="0" borderId="0" xfId="0" applyFont="1"/>
    <xf numFmtId="10" fontId="7" fillId="0" borderId="0" xfId="4" applyNumberFormat="1" applyFont="1"/>
    <xf numFmtId="17" fontId="0" fillId="0" borderId="0" xfId="0" applyNumberFormat="1"/>
    <xf numFmtId="3" fontId="0" fillId="0" borderId="0" xfId="0" applyNumberFormat="1"/>
    <xf numFmtId="0" fontId="8" fillId="0" borderId="0" xfId="0" applyFont="1"/>
    <xf numFmtId="166" fontId="0" fillId="0" borderId="0" xfId="0" applyNumberFormat="1"/>
    <xf numFmtId="0" fontId="7" fillId="0" borderId="0" xfId="0" applyFont="1" applyAlignment="1">
      <alignment horizontal="right"/>
    </xf>
    <xf numFmtId="167" fontId="0" fillId="0" borderId="0" xfId="0" applyNumberFormat="1"/>
    <xf numFmtId="0" fontId="1" fillId="4" borderId="0" xfId="0" applyFont="1" applyFill="1"/>
    <xf numFmtId="0" fontId="0" fillId="4" borderId="0" xfId="0" applyFill="1"/>
    <xf numFmtId="10" fontId="0" fillId="0" borderId="0" xfId="4" applyNumberFormat="1" applyFont="1"/>
    <xf numFmtId="0" fontId="10" fillId="0" borderId="0" xfId="0" applyFont="1"/>
    <xf numFmtId="0" fontId="1" fillId="0" borderId="1" xfId="0" applyFont="1" applyBorder="1"/>
    <xf numFmtId="166" fontId="1" fillId="0" borderId="1" xfId="0" applyNumberFormat="1" applyFont="1" applyBorder="1"/>
    <xf numFmtId="43" fontId="1" fillId="0" borderId="1" xfId="1" applyFont="1" applyBorder="1"/>
    <xf numFmtId="167" fontId="1" fillId="0" borderId="1" xfId="0" applyNumberFormat="1" applyFont="1" applyBorder="1"/>
    <xf numFmtId="43" fontId="1" fillId="0" borderId="1" xfId="1" applyFont="1" applyFill="1" applyBorder="1"/>
    <xf numFmtId="168" fontId="0" fillId="0" borderId="0" xfId="0" applyNumberFormat="1"/>
    <xf numFmtId="0" fontId="11" fillId="0" borderId="0" xfId="0" applyFont="1"/>
    <xf numFmtId="0" fontId="0" fillId="0" borderId="2" xfId="0" applyBorder="1"/>
    <xf numFmtId="10" fontId="0" fillId="0" borderId="2" xfId="4" applyNumberFormat="1" applyFont="1" applyBorder="1"/>
    <xf numFmtId="10" fontId="0" fillId="0" borderId="0" xfId="4" applyNumberFormat="1" applyFont="1" applyBorder="1"/>
    <xf numFmtId="0" fontId="0" fillId="0" borderId="3" xfId="0" applyBorder="1"/>
    <xf numFmtId="10" fontId="0" fillId="0" borderId="3" xfId="4" applyNumberFormat="1" applyFont="1" applyBorder="1"/>
    <xf numFmtId="10" fontId="0" fillId="0" borderId="3" xfId="0" applyNumberFormat="1" applyBorder="1"/>
    <xf numFmtId="168" fontId="0" fillId="0" borderId="3" xfId="0" applyNumberFormat="1" applyBorder="1"/>
    <xf numFmtId="168" fontId="0" fillId="0" borderId="2" xfId="0" applyNumberFormat="1" applyBorder="1"/>
    <xf numFmtId="1" fontId="0" fillId="0" borderId="2" xfId="0" applyNumberFormat="1" applyBorder="1"/>
    <xf numFmtId="1" fontId="0" fillId="0" borderId="0" xfId="0" applyNumberFormat="1"/>
    <xf numFmtId="1" fontId="0" fillId="0" borderId="3" xfId="0" applyNumberFormat="1" applyBorder="1"/>
    <xf numFmtId="0" fontId="0" fillId="0" borderId="0" xfId="0" applyAlignment="1">
      <alignment horizontal="left"/>
    </xf>
    <xf numFmtId="10" fontId="0" fillId="0" borderId="0" xfId="0" applyNumberFormat="1"/>
    <xf numFmtId="0" fontId="12" fillId="0" borderId="0" xfId="0" applyFont="1"/>
    <xf numFmtId="170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169" fontId="0" fillId="0" borderId="0" xfId="0" applyNumberFormat="1"/>
    <xf numFmtId="0" fontId="0" fillId="5" borderId="0" xfId="0" applyFill="1" applyAlignment="1">
      <alignment horizontal="left"/>
    </xf>
    <xf numFmtId="171" fontId="0" fillId="5" borderId="0" xfId="0" applyNumberFormat="1" applyFill="1" applyAlignment="1">
      <alignment horizontal="right"/>
    </xf>
    <xf numFmtId="169" fontId="0" fillId="5" borderId="0" xfId="0" applyNumberFormat="1" applyFill="1"/>
    <xf numFmtId="10" fontId="0" fillId="5" borderId="0" xfId="4" applyNumberFormat="1" applyFont="1" applyFill="1"/>
    <xf numFmtId="0" fontId="13" fillId="0" borderId="0" xfId="0" applyFont="1"/>
    <xf numFmtId="0" fontId="0" fillId="0" borderId="5" xfId="0" applyBorder="1"/>
    <xf numFmtId="10" fontId="0" fillId="6" borderId="0" xfId="4" applyNumberFormat="1" applyFont="1" applyFill="1"/>
    <xf numFmtId="0" fontId="15" fillId="0" borderId="0" xfId="0" applyFont="1"/>
    <xf numFmtId="10" fontId="15" fillId="0" borderId="0" xfId="0" applyNumberFormat="1" applyFont="1"/>
    <xf numFmtId="2" fontId="0" fillId="6" borderId="0" xfId="0" applyNumberFormat="1" applyFill="1"/>
    <xf numFmtId="0" fontId="1" fillId="0" borderId="4" xfId="0" applyFont="1" applyBorder="1"/>
    <xf numFmtId="0" fontId="1" fillId="0" borderId="5" xfId="0" applyFont="1" applyBorder="1"/>
    <xf numFmtId="10" fontId="0" fillId="0" borderId="4" xfId="0" applyNumberFormat="1" applyBorder="1"/>
    <xf numFmtId="10" fontId="0" fillId="0" borderId="5" xfId="0" applyNumberFormat="1" applyBorder="1"/>
    <xf numFmtId="10" fontId="0" fillId="0" borderId="4" xfId="4" applyNumberFormat="1" applyFont="1" applyBorder="1"/>
    <xf numFmtId="10" fontId="0" fillId="0" borderId="5" xfId="4" applyNumberFormat="1" applyFont="1" applyBorder="1"/>
    <xf numFmtId="2" fontId="0" fillId="0" borderId="4" xfId="0" applyNumberFormat="1" applyBorder="1"/>
    <xf numFmtId="2" fontId="0" fillId="0" borderId="5" xfId="0" applyNumberFormat="1" applyBorder="1"/>
    <xf numFmtId="0" fontId="0" fillId="0" borderId="6" xfId="0" applyBorder="1"/>
    <xf numFmtId="10" fontId="0" fillId="0" borderId="6" xfId="0" applyNumberFormat="1" applyBorder="1"/>
    <xf numFmtId="0" fontId="1" fillId="0" borderId="5" xfId="0" applyFont="1" applyBorder="1" applyAlignment="1">
      <alignment horizontal="right"/>
    </xf>
    <xf numFmtId="10" fontId="0" fillId="0" borderId="6" xfId="4" applyNumberFormat="1" applyFont="1" applyBorder="1"/>
    <xf numFmtId="10" fontId="0" fillId="6" borderId="0" xfId="0" applyNumberFormat="1" applyFill="1"/>
    <xf numFmtId="2" fontId="0" fillId="0" borderId="0" xfId="0" applyNumberFormat="1"/>
    <xf numFmtId="2" fontId="0" fillId="6" borderId="6" xfId="0" applyNumberFormat="1" applyFill="1" applyBorder="1"/>
    <xf numFmtId="169" fontId="0" fillId="0" borderId="6" xfId="0" applyNumberFormat="1" applyBorder="1"/>
    <xf numFmtId="0" fontId="16" fillId="0" borderId="0" xfId="0" applyFont="1"/>
    <xf numFmtId="0" fontId="16" fillId="0" borderId="0" xfId="0" applyFont="1" applyAlignment="1">
      <alignment vertical="top"/>
    </xf>
    <xf numFmtId="4" fontId="0" fillId="0" borderId="0" xfId="0" applyNumberFormat="1"/>
    <xf numFmtId="17" fontId="0" fillId="0" borderId="0" xfId="0" applyNumberFormat="1" applyAlignment="1">
      <alignment horizontal="left"/>
    </xf>
    <xf numFmtId="169" fontId="0" fillId="0" borderId="0" xfId="0" applyNumberFormat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0" fillId="5" borderId="0" xfId="0" applyFill="1"/>
    <xf numFmtId="2" fontId="0" fillId="5" borderId="0" xfId="0" applyNumberFormat="1" applyFill="1"/>
    <xf numFmtId="169" fontId="6" fillId="0" borderId="0" xfId="0" applyNumberFormat="1" applyFont="1"/>
    <xf numFmtId="173" fontId="0" fillId="5" borderId="0" xfId="0" applyNumberFormat="1" applyFill="1"/>
    <xf numFmtId="173" fontId="6" fillId="0" borderId="0" xfId="4" applyNumberFormat="1" applyFont="1"/>
    <xf numFmtId="173" fontId="0" fillId="0" borderId="4" xfId="0" applyNumberFormat="1" applyBorder="1"/>
    <xf numFmtId="173" fontId="0" fillId="0" borderId="5" xfId="0" applyNumberFormat="1" applyBorder="1"/>
    <xf numFmtId="10" fontId="6" fillId="0" borderId="0" xfId="0" applyNumberFormat="1" applyFont="1"/>
    <xf numFmtId="10" fontId="0" fillId="0" borderId="0" xfId="4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0" fontId="1" fillId="6" borderId="0" xfId="0" applyFont="1" applyFill="1"/>
    <xf numFmtId="10" fontId="1" fillId="6" borderId="0" xfId="0" applyNumberFormat="1" applyFont="1" applyFill="1"/>
    <xf numFmtId="0" fontId="1" fillId="5" borderId="0" xfId="0" applyFont="1" applyFill="1"/>
    <xf numFmtId="10" fontId="1" fillId="5" borderId="0" xfId="0" applyNumberFormat="1" applyFont="1" applyFill="1"/>
    <xf numFmtId="0" fontId="1" fillId="0" borderId="6" xfId="0" applyFont="1" applyBorder="1"/>
    <xf numFmtId="10" fontId="1" fillId="6" borderId="6" xfId="0" applyNumberFormat="1" applyFont="1" applyFill="1" applyBorder="1"/>
    <xf numFmtId="0" fontId="1" fillId="0" borderId="7" xfId="0" applyFont="1" applyBorder="1"/>
    <xf numFmtId="17" fontId="1" fillId="0" borderId="7" xfId="0" applyNumberFormat="1" applyFont="1" applyBorder="1"/>
    <xf numFmtId="43" fontId="0" fillId="0" borderId="0" xfId="0" applyNumberFormat="1"/>
    <xf numFmtId="43" fontId="1" fillId="0" borderId="0" xfId="0" applyNumberFormat="1" applyFont="1"/>
    <xf numFmtId="10" fontId="1" fillId="0" borderId="0" xfId="4" applyNumberFormat="1" applyFont="1"/>
    <xf numFmtId="17" fontId="1" fillId="0" borderId="0" xfId="0" applyNumberFormat="1" applyFont="1"/>
    <xf numFmtId="0" fontId="9" fillId="7" borderId="0" xfId="0" applyFont="1" applyFill="1"/>
    <xf numFmtId="17" fontId="9" fillId="7" borderId="0" xfId="0" applyNumberFormat="1" applyFont="1" applyFill="1"/>
    <xf numFmtId="0" fontId="1" fillId="0" borderId="10" xfId="0" applyFont="1" applyBorder="1"/>
    <xf numFmtId="174" fontId="0" fillId="0" borderId="0" xfId="0" applyNumberFormat="1"/>
    <xf numFmtId="174" fontId="1" fillId="0" borderId="10" xfId="0" applyNumberFormat="1" applyFont="1" applyBorder="1"/>
    <xf numFmtId="174" fontId="1" fillId="0" borderId="0" xfId="0" applyNumberFormat="1" applyFont="1"/>
    <xf numFmtId="174" fontId="0" fillId="0" borderId="1" xfId="0" applyNumberFormat="1" applyBorder="1"/>
    <xf numFmtId="174" fontId="0" fillId="0" borderId="12" xfId="0" applyNumberFormat="1" applyBorder="1"/>
    <xf numFmtId="174" fontId="1" fillId="0" borderId="13" xfId="0" applyNumberFormat="1" applyFont="1" applyBorder="1"/>
    <xf numFmtId="0" fontId="1" fillId="0" borderId="11" xfId="0" applyFont="1" applyBorder="1"/>
    <xf numFmtId="174" fontId="1" fillId="0" borderId="11" xfId="0" applyNumberFormat="1" applyFont="1" applyBorder="1"/>
    <xf numFmtId="174" fontId="0" fillId="0" borderId="13" xfId="0" applyNumberFormat="1" applyBorder="1"/>
    <xf numFmtId="0" fontId="5" fillId="7" borderId="0" xfId="0" applyFont="1" applyFill="1"/>
    <xf numFmtId="0" fontId="2" fillId="7" borderId="0" xfId="0" applyFont="1" applyFill="1"/>
    <xf numFmtId="0" fontId="0" fillId="0" borderId="11" xfId="0" applyBorder="1"/>
    <xf numFmtId="0" fontId="0" fillId="0" borderId="1" xfId="0" applyBorder="1"/>
    <xf numFmtId="0" fontId="1" fillId="0" borderId="14" xfId="0" applyFont="1" applyBorder="1"/>
    <xf numFmtId="10" fontId="1" fillId="0" borderId="14" xfId="4" applyNumberFormat="1" applyFont="1" applyBorder="1"/>
    <xf numFmtId="174" fontId="1" fillId="0" borderId="14" xfId="0" applyNumberFormat="1" applyFont="1" applyBorder="1"/>
    <xf numFmtId="10" fontId="15" fillId="0" borderId="1" xfId="0" applyNumberFormat="1" applyFont="1" applyBorder="1"/>
    <xf numFmtId="10" fontId="0" fillId="0" borderId="1" xfId="0" applyNumberFormat="1" applyBorder="1"/>
    <xf numFmtId="175" fontId="5" fillId="7" borderId="0" xfId="0" applyNumberFormat="1" applyFont="1" applyFill="1"/>
    <xf numFmtId="176" fontId="5" fillId="7" borderId="0" xfId="0" applyNumberFormat="1" applyFont="1" applyFill="1"/>
    <xf numFmtId="10" fontId="0" fillId="5" borderId="0" xfId="0" applyNumberFormat="1" applyFill="1"/>
    <xf numFmtId="43" fontId="0" fillId="0" borderId="1" xfId="0" applyNumberFormat="1" applyBorder="1"/>
    <xf numFmtId="10" fontId="0" fillId="0" borderId="1" xfId="4" applyNumberFormat="1" applyFont="1" applyBorder="1"/>
    <xf numFmtId="0" fontId="15" fillId="0" borderId="1" xfId="0" applyFont="1" applyBorder="1"/>
    <xf numFmtId="0" fontId="0" fillId="6" borderId="0" xfId="0" applyFill="1"/>
    <xf numFmtId="43" fontId="0" fillId="6" borderId="1" xfId="0" applyNumberFormat="1" applyFill="1" applyBorder="1"/>
    <xf numFmtId="10" fontId="15" fillId="6" borderId="1" xfId="0" applyNumberFormat="1" applyFont="1" applyFill="1" applyBorder="1"/>
    <xf numFmtId="10" fontId="0" fillId="6" borderId="1" xfId="0" applyNumberFormat="1" applyFill="1" applyBorder="1"/>
    <xf numFmtId="0" fontId="0" fillId="6" borderId="1" xfId="0" applyFill="1" applyBorder="1"/>
    <xf numFmtId="173" fontId="0" fillId="0" borderId="1" xfId="0" applyNumberFormat="1" applyBorder="1"/>
    <xf numFmtId="0" fontId="1" fillId="6" borderId="14" xfId="0" applyFont="1" applyFill="1" applyBorder="1"/>
    <xf numFmtId="43" fontId="1" fillId="0" borderId="14" xfId="0" applyNumberFormat="1" applyFont="1" applyBorder="1"/>
    <xf numFmtId="2" fontId="1" fillId="0" borderId="14" xfId="0" applyNumberFormat="1" applyFont="1" applyBorder="1"/>
    <xf numFmtId="2" fontId="1" fillId="0" borderId="0" xfId="0" applyNumberFormat="1" applyFont="1"/>
    <xf numFmtId="17" fontId="9" fillId="7" borderId="0" xfId="0" applyNumberFormat="1" applyFont="1" applyFill="1" applyAlignment="1">
      <alignment horizontal="center"/>
    </xf>
    <xf numFmtId="17" fontId="9" fillId="7" borderId="0" xfId="0" applyNumberFormat="1" applyFont="1" applyFill="1" applyAlignment="1">
      <alignment horizontal="right"/>
    </xf>
    <xf numFmtId="0" fontId="2" fillId="7" borderId="0" xfId="0" applyFont="1" applyFill="1" applyAlignment="1">
      <alignment horizontal="left"/>
    </xf>
    <xf numFmtId="0" fontId="2" fillId="7" borderId="0" xfId="0" applyFont="1" applyFill="1" applyAlignment="1">
      <alignment horizontal="right"/>
    </xf>
    <xf numFmtId="0" fontId="0" fillId="0" borderId="0" xfId="0" applyAlignment="1">
      <alignment wrapText="1"/>
    </xf>
    <xf numFmtId="177" fontId="0" fillId="5" borderId="0" xfId="4" applyNumberFormat="1" applyFont="1" applyFill="1"/>
    <xf numFmtId="17" fontId="2" fillId="7" borderId="0" xfId="0" applyNumberFormat="1" applyFont="1" applyFill="1"/>
    <xf numFmtId="0" fontId="0" fillId="0" borderId="12" xfId="0" applyBorder="1"/>
    <xf numFmtId="0" fontId="1" fillId="0" borderId="13" xfId="0" applyFont="1" applyBorder="1"/>
    <xf numFmtId="3" fontId="0" fillId="0" borderId="13" xfId="0" applyNumberFormat="1" applyBorder="1"/>
    <xf numFmtId="0" fontId="1" fillId="0" borderId="15" xfId="0" applyFont="1" applyBorder="1"/>
    <xf numFmtId="17" fontId="0" fillId="0" borderId="1" xfId="0" applyNumberFormat="1" applyBorder="1"/>
    <xf numFmtId="172" fontId="2" fillId="7" borderId="0" xfId="0" applyNumberFormat="1" applyFont="1" applyFill="1"/>
    <xf numFmtId="17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8" xfId="0" applyBorder="1"/>
    <xf numFmtId="0" fontId="10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Continuous"/>
    </xf>
    <xf numFmtId="10" fontId="6" fillId="0" borderId="1" xfId="0" applyNumberFormat="1" applyFont="1" applyBorder="1"/>
    <xf numFmtId="174" fontId="1" fillId="0" borderId="15" xfId="0" applyNumberFormat="1" applyFont="1" applyBorder="1"/>
    <xf numFmtId="0" fontId="9" fillId="7" borderId="0" xfId="0" applyFont="1" applyFill="1" applyAlignment="1">
      <alignment horizontal="center"/>
    </xf>
    <xf numFmtId="17" fontId="9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3333FF"/>
      <color rgb="FF0000FF"/>
      <color rgb="FF9933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digrin.com/stocks/detail/TCS.NS/price?utm_source=chatgpt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rin.com/stocks/detail/TCS.NS/price?utm_source=chatgpt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82B4-3C50-4694-8712-BFEBF9A2C6EA}">
  <sheetPr>
    <tabColor rgb="FF002060"/>
  </sheetPr>
  <dimension ref="A1"/>
  <sheetViews>
    <sheetView topLeftCell="A7" zoomScale="80" zoomScaleNormal="55" workbookViewId="0">
      <selection activeCell="I46" sqref="I46"/>
    </sheetView>
  </sheetViews>
  <sheetFormatPr defaultRowHeight="15" x14ac:dyDescent="0.25"/>
  <sheetData>
    <row r="1" spans="1:1" x14ac:dyDescent="0.25">
      <c r="A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C490-B9EA-493F-B9EE-C80D4064F4E1}">
  <dimension ref="A2:N99"/>
  <sheetViews>
    <sheetView showGridLines="0" tabSelected="1" zoomScale="108" workbookViewId="0">
      <pane ySplit="4" topLeftCell="A5" activePane="bottomLeft" state="frozen"/>
      <selection pane="bottomLeft" activeCell="K6" sqref="K6"/>
    </sheetView>
  </sheetViews>
  <sheetFormatPr defaultRowHeight="15" x14ac:dyDescent="0.25"/>
  <cols>
    <col min="1" max="1" width="1.85546875" customWidth="1"/>
    <col min="2" max="2" width="31.140625" bestFit="1" customWidth="1"/>
    <col min="3" max="5" width="14.85546875" bestFit="1" customWidth="1"/>
    <col min="6" max="6" width="13.7109375" bestFit="1" customWidth="1"/>
    <col min="7" max="7" width="14.42578125" bestFit="1" customWidth="1"/>
    <col min="8" max="8" width="15.5703125" bestFit="1" customWidth="1"/>
    <col min="9" max="9" width="14.42578125" bestFit="1" customWidth="1"/>
    <col min="10" max="11" width="15.5703125" bestFit="1" customWidth="1"/>
    <col min="12" max="12" width="14.85546875" bestFit="1" customWidth="1"/>
    <col min="13" max="13" width="13.140625" bestFit="1" customWidth="1"/>
  </cols>
  <sheetData>
    <row r="2" spans="1:12" x14ac:dyDescent="0.25">
      <c r="B2" s="159" t="str">
        <f>"Historical Financial Statement - "&amp;'Data Sheet'!B1</f>
        <v>Historical Financial Statement - INFOSYS LTD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2" x14ac:dyDescent="0.25">
      <c r="B3" s="100" t="s">
        <v>55</v>
      </c>
      <c r="C3" s="101">
        <f>'Data Sheet'!B16</f>
        <v>42460</v>
      </c>
      <c r="D3" s="101">
        <f>'Data Sheet'!C16</f>
        <v>42825</v>
      </c>
      <c r="E3" s="101">
        <f>'Data Sheet'!D16</f>
        <v>43190</v>
      </c>
      <c r="F3" s="101">
        <f>'Data Sheet'!E16</f>
        <v>43555</v>
      </c>
      <c r="G3" s="101">
        <f>'Data Sheet'!F16</f>
        <v>43921</v>
      </c>
      <c r="H3" s="101">
        <f>'Data Sheet'!G16</f>
        <v>44286</v>
      </c>
      <c r="I3" s="101">
        <f>'Data Sheet'!H16</f>
        <v>44651</v>
      </c>
      <c r="J3" s="101">
        <f>'Data Sheet'!I16</f>
        <v>45016</v>
      </c>
      <c r="K3" s="101">
        <f>'Data Sheet'!J16</f>
        <v>45382</v>
      </c>
      <c r="L3" s="101">
        <f>'Data Sheet'!K16</f>
        <v>45747</v>
      </c>
    </row>
    <row r="5" spans="1:12" x14ac:dyDescent="0.25">
      <c r="A5" s="2" t="s">
        <v>56</v>
      </c>
      <c r="B5" s="17" t="s">
        <v>57</v>
      </c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 x14ac:dyDescent="0.25">
      <c r="B6" t="s">
        <v>1</v>
      </c>
      <c r="C6" s="14">
        <f>IFERROR('Data Sheet'!B17,0)</f>
        <v>62441</v>
      </c>
      <c r="D6" s="14">
        <f>IFERROR('Data Sheet'!C17,0)</f>
        <v>68484</v>
      </c>
      <c r="E6" s="14">
        <f>IFERROR('Data Sheet'!D17,0)</f>
        <v>70522</v>
      </c>
      <c r="F6" s="14">
        <f>IFERROR('Data Sheet'!E17,0)</f>
        <v>82675</v>
      </c>
      <c r="G6" s="14">
        <f>IFERROR('Data Sheet'!F17,0)</f>
        <v>90791</v>
      </c>
      <c r="H6" s="14">
        <f>IFERROR('Data Sheet'!G17,0)</f>
        <v>100472</v>
      </c>
      <c r="I6" s="14">
        <f>IFERROR('Data Sheet'!H17,0)</f>
        <v>121641</v>
      </c>
      <c r="J6" s="14">
        <f>IFERROR('Data Sheet'!I17,0)</f>
        <v>146767</v>
      </c>
      <c r="K6" s="14">
        <f>IFERROR('Data Sheet'!J17,0)</f>
        <v>153670</v>
      </c>
      <c r="L6" s="14">
        <f>IFERROR('Data Sheet'!K17,0)</f>
        <v>162990</v>
      </c>
    </row>
    <row r="7" spans="1:12" x14ac:dyDescent="0.25">
      <c r="B7" s="9" t="s">
        <v>10</v>
      </c>
      <c r="C7" s="15" t="s">
        <v>58</v>
      </c>
      <c r="D7" s="10">
        <f>D6/C6-1</f>
        <v>9.67793597155715E-2</v>
      </c>
      <c r="E7" s="10">
        <f t="shared" ref="E7:L7" si="0">E6/D6-1</f>
        <v>2.9758775772443125E-2</v>
      </c>
      <c r="F7" s="10">
        <f t="shared" si="0"/>
        <v>0.17232920223476356</v>
      </c>
      <c r="G7" s="10">
        <f t="shared" si="0"/>
        <v>9.8167523435137571E-2</v>
      </c>
      <c r="H7" s="10">
        <f t="shared" si="0"/>
        <v>0.10662951173574475</v>
      </c>
      <c r="I7" s="10">
        <f t="shared" si="0"/>
        <v>0.21069551715900947</v>
      </c>
      <c r="J7" s="10">
        <f t="shared" si="0"/>
        <v>0.20655864387829759</v>
      </c>
      <c r="K7" s="10">
        <f t="shared" si="0"/>
        <v>4.7033733741236095E-2</v>
      </c>
      <c r="L7" s="10">
        <f t="shared" si="0"/>
        <v>6.0649443612936782E-2</v>
      </c>
    </row>
    <row r="9" spans="1:12" x14ac:dyDescent="0.25">
      <c r="B9" t="s">
        <v>59</v>
      </c>
      <c r="C9" s="14" cm="1">
        <f t="array" ref="C9">IFERROR(SUM('Data Sheet'!B20:B22-1*'Data Sheet'!B19),0)</f>
        <v>40492</v>
      </c>
      <c r="D9" s="14" cm="1">
        <f t="array" ref="D9">IFERROR(SUM('Data Sheet'!C20:C22-1*'Data Sheet'!C19),0)</f>
        <v>44609</v>
      </c>
      <c r="E9" s="14" cm="1">
        <f t="array" ref="E9">IFERROR(SUM('Data Sheet'!D20:D22-1*'Data Sheet'!D19),0)</f>
        <v>46395</v>
      </c>
      <c r="F9" s="14" cm="1">
        <f t="array" ref="F9">IFERROR(SUM('Data Sheet'!E20:E22-1*'Data Sheet'!E19),0)</f>
        <v>55446</v>
      </c>
      <c r="G9" s="14" cm="1">
        <f t="array" ref="G9">IFERROR(SUM('Data Sheet'!F20:F22-1*'Data Sheet'!F19),0)</f>
        <v>62210</v>
      </c>
      <c r="H9" s="14" cm="1">
        <f t="array" ref="H9">IFERROR(SUM('Data Sheet'!G20:G22-1*'Data Sheet'!G19),0)</f>
        <v>68490</v>
      </c>
      <c r="I9" s="14" cm="1">
        <f t="array" ref="I9">IFERROR(SUM('Data Sheet'!H20:H22-1*'Data Sheet'!H19),0)</f>
        <v>84819</v>
      </c>
      <c r="J9" s="14" cm="1">
        <f t="array" ref="J9">IFERROR(SUM('Data Sheet'!I20:I22-1*'Data Sheet'!I19),0)</f>
        <v>104880</v>
      </c>
      <c r="K9" s="14" cm="1">
        <f t="array" ref="K9">IFERROR(SUM('Data Sheet'!J20:J22-1*'Data Sheet'!J19),0)</f>
        <v>110030</v>
      </c>
      <c r="L9" s="14" cm="1">
        <f t="array" ref="L9">IFERROR(SUM('Data Sheet'!K20:K22-1*'Data Sheet'!K19),0)</f>
        <v>116585</v>
      </c>
    </row>
    <row r="10" spans="1:12" x14ac:dyDescent="0.25">
      <c r="B10" s="9" t="s">
        <v>60</v>
      </c>
      <c r="C10" s="15" t="s">
        <v>58</v>
      </c>
      <c r="D10" s="10">
        <f>D9/C9-1</f>
        <v>0.10167440482070522</v>
      </c>
      <c r="E10" s="10">
        <f>E9/D9-1</f>
        <v>4.0036763881727833E-2</v>
      </c>
      <c r="F10" s="10">
        <f t="shared" ref="F10:L10" si="1">F9/E9-1</f>
        <v>0.19508567733591975</v>
      </c>
      <c r="G10" s="10">
        <f t="shared" si="1"/>
        <v>0.12199256934675184</v>
      </c>
      <c r="H10" s="10">
        <f t="shared" si="1"/>
        <v>0.10094840057868515</v>
      </c>
      <c r="I10" s="10">
        <f t="shared" si="1"/>
        <v>0.2384143670608847</v>
      </c>
      <c r="J10" s="10">
        <f t="shared" si="1"/>
        <v>0.23651540338839183</v>
      </c>
      <c r="K10" s="10">
        <f t="shared" si="1"/>
        <v>4.9103737604881736E-2</v>
      </c>
      <c r="L10" s="10">
        <f t="shared" si="1"/>
        <v>5.957466145596646E-2</v>
      </c>
    </row>
    <row r="12" spans="1:12" x14ac:dyDescent="0.25">
      <c r="B12" s="21" t="s">
        <v>90</v>
      </c>
      <c r="C12" s="22">
        <f>IFERROR(C6-C9,0)</f>
        <v>21949</v>
      </c>
      <c r="D12" s="22">
        <f t="shared" ref="D12:L12" si="2">IFERROR(D6-D9,0)</f>
        <v>23875</v>
      </c>
      <c r="E12" s="22">
        <f t="shared" si="2"/>
        <v>24127</v>
      </c>
      <c r="F12" s="22">
        <f t="shared" si="2"/>
        <v>27229</v>
      </c>
      <c r="G12" s="22">
        <f t="shared" si="2"/>
        <v>28581</v>
      </c>
      <c r="H12" s="22">
        <f t="shared" si="2"/>
        <v>31982</v>
      </c>
      <c r="I12" s="22">
        <f t="shared" si="2"/>
        <v>36822</v>
      </c>
      <c r="J12" s="22">
        <f t="shared" si="2"/>
        <v>41887</v>
      </c>
      <c r="K12" s="22">
        <f t="shared" si="2"/>
        <v>43640</v>
      </c>
      <c r="L12" s="22">
        <f t="shared" si="2"/>
        <v>46405</v>
      </c>
    </row>
    <row r="13" spans="1:12" x14ac:dyDescent="0.25">
      <c r="B13" s="9" t="s">
        <v>92</v>
      </c>
      <c r="C13" s="10">
        <f>C12/C6</f>
        <v>0.35151583094441152</v>
      </c>
      <c r="D13" s="10">
        <f t="shared" ref="D13:L13" si="3">D12/D6</f>
        <v>0.34862157584253256</v>
      </c>
      <c r="E13" s="10">
        <f t="shared" si="3"/>
        <v>0.34212018944442868</v>
      </c>
      <c r="F13" s="10">
        <f t="shared" si="3"/>
        <v>0.32934986392500754</v>
      </c>
      <c r="G13" s="10">
        <f t="shared" si="3"/>
        <v>0.31479992510270843</v>
      </c>
      <c r="H13" s="10">
        <f t="shared" si="3"/>
        <v>0.31831754120550998</v>
      </c>
      <c r="I13" s="10">
        <f t="shared" si="3"/>
        <v>0.30271043480405457</v>
      </c>
      <c r="J13" s="10">
        <f t="shared" si="3"/>
        <v>0.28539794367943749</v>
      </c>
      <c r="K13" s="10">
        <f t="shared" si="3"/>
        <v>0.28398516301164833</v>
      </c>
      <c r="L13" s="10">
        <f t="shared" si="3"/>
        <v>0.2847107184489846</v>
      </c>
    </row>
    <row r="15" spans="1:12" x14ac:dyDescent="0.25">
      <c r="B15" t="s">
        <v>61</v>
      </c>
      <c r="C15" s="14">
        <f>IFERROR(SUM('Data Sheet'!B23:B24),0)</f>
        <v>4870</v>
      </c>
      <c r="D15" s="14">
        <f>IFERROR(SUM('Data Sheet'!C23:C24),0)</f>
        <v>5271</v>
      </c>
      <c r="E15" s="14">
        <f>IFERROR(SUM('Data Sheet'!D23:D24),0)</f>
        <v>5305</v>
      </c>
      <c r="F15" s="14">
        <f>IFERROR(SUM('Data Sheet'!E23:E24),0)</f>
        <v>7059</v>
      </c>
      <c r="G15" s="14">
        <f>IFERROR(SUM('Data Sheet'!F23:F24),0)</f>
        <v>6314</v>
      </c>
      <c r="H15" s="14">
        <f>IFERROR(SUM('Data Sheet'!G23:G24),0)</f>
        <v>4093</v>
      </c>
      <c r="I15" s="14">
        <f>IFERROR(SUM('Data Sheet'!H23:H24),0)</f>
        <v>5331</v>
      </c>
      <c r="J15" s="14">
        <f>IFERROR(SUM('Data Sheet'!I23:I24),0)</f>
        <v>6757</v>
      </c>
      <c r="K15" s="14">
        <f>IFERROR(SUM('Data Sheet'!J23:J24),0)</f>
        <v>7215</v>
      </c>
      <c r="L15" s="14">
        <f>IFERROR(SUM('Data Sheet'!K23:K24),0)</f>
        <v>7169</v>
      </c>
    </row>
    <row r="16" spans="1:12" x14ac:dyDescent="0.25">
      <c r="B16" s="9" t="s">
        <v>91</v>
      </c>
      <c r="C16" s="10">
        <f>C15/C6</f>
        <v>7.7993625982927889E-2</v>
      </c>
      <c r="D16" s="10">
        <f t="shared" ref="D16:L16" si="4">D15/D6</f>
        <v>7.6966882775538814E-2</v>
      </c>
      <c r="E16" s="10">
        <f t="shared" si="4"/>
        <v>7.5224752559484978E-2</v>
      </c>
      <c r="F16" s="10">
        <f t="shared" si="4"/>
        <v>8.5382521923193233E-2</v>
      </c>
      <c r="G16" s="10">
        <f t="shared" si="4"/>
        <v>6.9544338095185648E-2</v>
      </c>
      <c r="H16" s="10">
        <f t="shared" si="4"/>
        <v>4.0737717971176049E-2</v>
      </c>
      <c r="I16" s="10">
        <f t="shared" si="4"/>
        <v>4.3825683774385282E-2</v>
      </c>
      <c r="J16" s="10">
        <f t="shared" si="4"/>
        <v>4.6038959711651804E-2</v>
      </c>
      <c r="K16" s="10">
        <f t="shared" si="4"/>
        <v>4.6951259191774584E-2</v>
      </c>
      <c r="L16" s="10">
        <f t="shared" si="4"/>
        <v>4.3984293514939564E-2</v>
      </c>
    </row>
    <row r="18" spans="2:12" x14ac:dyDescent="0.25">
      <c r="B18" s="21" t="s">
        <v>62</v>
      </c>
      <c r="C18" s="22">
        <f t="shared" ref="C18:L18" si="5">IFERROR(C12-C15,0)</f>
        <v>17079</v>
      </c>
      <c r="D18" s="22">
        <f t="shared" si="5"/>
        <v>18604</v>
      </c>
      <c r="E18" s="22">
        <f t="shared" si="5"/>
        <v>18822</v>
      </c>
      <c r="F18" s="22">
        <f t="shared" si="5"/>
        <v>20170</v>
      </c>
      <c r="G18" s="22">
        <f t="shared" si="5"/>
        <v>22267</v>
      </c>
      <c r="H18" s="22">
        <f t="shared" si="5"/>
        <v>27889</v>
      </c>
      <c r="I18" s="22">
        <f t="shared" si="5"/>
        <v>31491</v>
      </c>
      <c r="J18" s="22">
        <f t="shared" si="5"/>
        <v>35130</v>
      </c>
      <c r="K18" s="22">
        <f t="shared" si="5"/>
        <v>36425</v>
      </c>
      <c r="L18" s="22">
        <f t="shared" si="5"/>
        <v>39236</v>
      </c>
    </row>
    <row r="19" spans="2:12" x14ac:dyDescent="0.25">
      <c r="B19" s="9" t="s">
        <v>63</v>
      </c>
      <c r="C19" s="10">
        <f>IFERROR(C18/C6,0)</f>
        <v>0.27352220496148366</v>
      </c>
      <c r="D19" s="10">
        <f>IFERROR(D18/D6,0)</f>
        <v>0.27165469306699375</v>
      </c>
      <c r="E19" s="10">
        <f t="shared" ref="E19:L19" si="6">IFERROR(E18/E6,0)</f>
        <v>0.26689543688494372</v>
      </c>
      <c r="F19" s="10">
        <f t="shared" si="6"/>
        <v>0.24396734200181433</v>
      </c>
      <c r="G19" s="10">
        <f t="shared" si="6"/>
        <v>0.24525558700752279</v>
      </c>
      <c r="H19" s="10">
        <f t="shared" si="6"/>
        <v>0.27757982323433394</v>
      </c>
      <c r="I19" s="10">
        <f t="shared" si="6"/>
        <v>0.25888475102966929</v>
      </c>
      <c r="J19" s="10">
        <f t="shared" si="6"/>
        <v>0.23935898396778568</v>
      </c>
      <c r="K19" s="10">
        <f t="shared" si="6"/>
        <v>0.23703390381987374</v>
      </c>
      <c r="L19" s="10">
        <f t="shared" si="6"/>
        <v>0.24072642493404503</v>
      </c>
    </row>
    <row r="21" spans="2:12" x14ac:dyDescent="0.25">
      <c r="B21" t="s">
        <v>6</v>
      </c>
      <c r="C21" s="14">
        <f>IFERROR('Data Sheet'!B27,0)</f>
        <v>0</v>
      </c>
      <c r="D21" s="14">
        <f>IFERROR('Data Sheet'!C27,0)</f>
        <v>0</v>
      </c>
      <c r="E21" s="14">
        <f>IFERROR('Data Sheet'!D27,0)</f>
        <v>0</v>
      </c>
      <c r="F21" s="14">
        <f>IFERROR('Data Sheet'!E27,0)</f>
        <v>0</v>
      </c>
      <c r="G21" s="14">
        <f>IFERROR('Data Sheet'!F27,0)</f>
        <v>170</v>
      </c>
      <c r="H21" s="14">
        <f>IFERROR('Data Sheet'!G27,0)</f>
        <v>195</v>
      </c>
      <c r="I21" s="14">
        <f>IFERROR('Data Sheet'!H27,0)</f>
        <v>200</v>
      </c>
      <c r="J21" s="14">
        <f>IFERROR('Data Sheet'!I27,0)</f>
        <v>284</v>
      </c>
      <c r="K21" s="14">
        <f>IFERROR('Data Sheet'!J27,0)</f>
        <v>470</v>
      </c>
      <c r="L21" s="14">
        <f>IFERROR('Data Sheet'!K27,0)</f>
        <v>416</v>
      </c>
    </row>
    <row r="22" spans="2:12" x14ac:dyDescent="0.25">
      <c r="B22" s="9" t="s">
        <v>64</v>
      </c>
      <c r="C22" s="10">
        <f>IFERROR(C21/C6,0)</f>
        <v>0</v>
      </c>
      <c r="D22" s="10">
        <f t="shared" ref="D22:L22" si="7">IFERROR(D21/D6,0)</f>
        <v>0</v>
      </c>
      <c r="E22" s="10">
        <f t="shared" si="7"/>
        <v>0</v>
      </c>
      <c r="F22" s="10">
        <f t="shared" si="7"/>
        <v>0</v>
      </c>
      <c r="G22" s="10">
        <f t="shared" si="7"/>
        <v>1.8724322895441179E-3</v>
      </c>
      <c r="H22" s="10">
        <f t="shared" si="7"/>
        <v>1.9408392387928975E-3</v>
      </c>
      <c r="I22" s="10">
        <f t="shared" si="7"/>
        <v>1.6441824713706726E-3</v>
      </c>
      <c r="J22" s="10">
        <f t="shared" si="7"/>
        <v>1.9350398931639945E-3</v>
      </c>
      <c r="K22" s="10">
        <f t="shared" si="7"/>
        <v>3.0585019847725646E-3</v>
      </c>
      <c r="L22" s="10">
        <f t="shared" si="7"/>
        <v>2.5523038223203877E-3</v>
      </c>
    </row>
    <row r="24" spans="2:12" x14ac:dyDescent="0.25">
      <c r="B24" t="s">
        <v>5</v>
      </c>
      <c r="C24" s="14">
        <f>IFERROR('Data Sheet'!B26,0)</f>
        <v>1459</v>
      </c>
      <c r="D24" s="14">
        <f>IFERROR('Data Sheet'!C26,0)</f>
        <v>1703</v>
      </c>
      <c r="E24" s="14">
        <f>IFERROR('Data Sheet'!D26,0)</f>
        <v>1863</v>
      </c>
      <c r="F24" s="14">
        <f>IFERROR('Data Sheet'!E26,0)</f>
        <v>2011</v>
      </c>
      <c r="G24" s="14">
        <f>IFERROR('Data Sheet'!F26,0)</f>
        <v>2893</v>
      </c>
      <c r="H24" s="14">
        <f>IFERROR('Data Sheet'!G26,0)</f>
        <v>3267</v>
      </c>
      <c r="I24" s="14">
        <f>IFERROR('Data Sheet'!H26,0)</f>
        <v>3476</v>
      </c>
      <c r="J24" s="14">
        <f>IFERROR('Data Sheet'!I26,0)</f>
        <v>4225</v>
      </c>
      <c r="K24" s="14">
        <f>IFERROR('Data Sheet'!J26,0)</f>
        <v>4678</v>
      </c>
      <c r="L24" s="14">
        <f>IFERROR('Data Sheet'!K26,0)</f>
        <v>4812</v>
      </c>
    </row>
    <row r="25" spans="2:12" x14ac:dyDescent="0.25">
      <c r="B25" s="9" t="s">
        <v>65</v>
      </c>
      <c r="C25" s="10">
        <f>IFERROR(C24/C6,0)</f>
        <v>2.3366057558335068E-2</v>
      </c>
      <c r="D25" s="10">
        <f t="shared" ref="D25:L25" si="8">IFERROR(D24/D6,0)</f>
        <v>2.4867122247532271E-2</v>
      </c>
      <c r="E25" s="10">
        <f t="shared" si="8"/>
        <v>2.6417288222115084E-2</v>
      </c>
      <c r="F25" s="10">
        <f t="shared" si="8"/>
        <v>2.4324160870879952E-2</v>
      </c>
      <c r="G25" s="10">
        <f t="shared" si="8"/>
        <v>3.1864391845006661E-2</v>
      </c>
      <c r="H25" s="10">
        <f t="shared" si="8"/>
        <v>3.2516522016084085E-2</v>
      </c>
      <c r="I25" s="10">
        <f t="shared" si="8"/>
        <v>2.8575891352422292E-2</v>
      </c>
      <c r="J25" s="10">
        <f t="shared" si="8"/>
        <v>2.8787125171189708E-2</v>
      </c>
      <c r="K25" s="10">
        <f t="shared" si="8"/>
        <v>3.0441855925034164E-2</v>
      </c>
      <c r="L25" s="10">
        <f t="shared" si="8"/>
        <v>2.9523283637032948E-2</v>
      </c>
    </row>
    <row r="27" spans="2:12" x14ac:dyDescent="0.25">
      <c r="B27" s="21" t="s">
        <v>66</v>
      </c>
      <c r="C27" s="22">
        <f>IFERROR(C18-SUM(C24,C21),0)</f>
        <v>15620</v>
      </c>
      <c r="D27" s="22">
        <f t="shared" ref="D27:L27" si="9">IFERROR(D18-SUM(D24,D21),0)</f>
        <v>16901</v>
      </c>
      <c r="E27" s="22">
        <f t="shared" si="9"/>
        <v>16959</v>
      </c>
      <c r="F27" s="22">
        <f t="shared" si="9"/>
        <v>18159</v>
      </c>
      <c r="G27" s="22">
        <f t="shared" si="9"/>
        <v>19204</v>
      </c>
      <c r="H27" s="22">
        <f t="shared" si="9"/>
        <v>24427</v>
      </c>
      <c r="I27" s="22">
        <f t="shared" si="9"/>
        <v>27815</v>
      </c>
      <c r="J27" s="22">
        <f t="shared" si="9"/>
        <v>30621</v>
      </c>
      <c r="K27" s="22">
        <f t="shared" si="9"/>
        <v>31277</v>
      </c>
      <c r="L27" s="22">
        <f t="shared" si="9"/>
        <v>34008</v>
      </c>
    </row>
    <row r="28" spans="2:12" x14ac:dyDescent="0.25">
      <c r="B28" s="9" t="s">
        <v>93</v>
      </c>
      <c r="C28" s="10">
        <f>IFERROR(C27/C6,0)</f>
        <v>0.25015614740314857</v>
      </c>
      <c r="D28" s="10">
        <f t="shared" ref="D28:L28" si="10">IFERROR(D27/D6,0)</f>
        <v>0.24678757081946148</v>
      </c>
      <c r="E28" s="10">
        <f t="shared" si="10"/>
        <v>0.24047814866282863</v>
      </c>
      <c r="F28" s="10">
        <f t="shared" si="10"/>
        <v>0.2196431811309344</v>
      </c>
      <c r="G28" s="10">
        <f t="shared" si="10"/>
        <v>0.211518762872972</v>
      </c>
      <c r="H28" s="10">
        <f t="shared" si="10"/>
        <v>0.24312246197945697</v>
      </c>
      <c r="I28" s="10">
        <f t="shared" si="10"/>
        <v>0.2286646772058763</v>
      </c>
      <c r="J28" s="10">
        <f t="shared" si="10"/>
        <v>0.20863681890343197</v>
      </c>
      <c r="K28" s="10">
        <f t="shared" si="10"/>
        <v>0.20353354591006703</v>
      </c>
      <c r="L28" s="10">
        <f t="shared" si="10"/>
        <v>0.20865083747469171</v>
      </c>
    </row>
    <row r="30" spans="2:12" x14ac:dyDescent="0.25">
      <c r="B30" t="s">
        <v>8</v>
      </c>
      <c r="C30" s="14">
        <f>IFERROR('Data Sheet'!B29,0)</f>
        <v>5251</v>
      </c>
      <c r="D30" s="14">
        <f>IFERROR('Data Sheet'!C29,0)</f>
        <v>5598</v>
      </c>
      <c r="E30" s="14">
        <f>IFERROR('Data Sheet'!D29,0)</f>
        <v>4241</v>
      </c>
      <c r="F30" s="14">
        <f>IFERROR('Data Sheet'!E29,0)</f>
        <v>5631</v>
      </c>
      <c r="G30" s="14">
        <f>IFERROR('Data Sheet'!F29,0)</f>
        <v>5368</v>
      </c>
      <c r="H30" s="14">
        <f>IFERROR('Data Sheet'!G29,0)</f>
        <v>7205</v>
      </c>
      <c r="I30" s="14">
        <f>IFERROR('Data Sheet'!H29,0)</f>
        <v>7964</v>
      </c>
      <c r="J30" s="14">
        <f>IFERROR('Data Sheet'!I29,0)</f>
        <v>9214</v>
      </c>
      <c r="K30" s="14">
        <f>IFERROR('Data Sheet'!J29,0)</f>
        <v>9740</v>
      </c>
      <c r="L30" s="14">
        <f>IFERROR('Data Sheet'!K29,0)</f>
        <v>10858</v>
      </c>
    </row>
    <row r="31" spans="2:12" x14ac:dyDescent="0.25">
      <c r="B31" s="9" t="s">
        <v>94</v>
      </c>
      <c r="C31" s="10">
        <f>IFERROR(C30/C27,0)</f>
        <v>0.33617157490396926</v>
      </c>
      <c r="D31" s="10">
        <f t="shared" ref="D31:L31" si="11">IFERROR(D30/D27,0)</f>
        <v>0.33122300455594345</v>
      </c>
      <c r="E31" s="10">
        <f t="shared" si="11"/>
        <v>0.25007370717613064</v>
      </c>
      <c r="F31" s="10">
        <f t="shared" si="11"/>
        <v>0.31009416818106722</v>
      </c>
      <c r="G31" s="10">
        <f t="shared" si="11"/>
        <v>0.27952509893772132</v>
      </c>
      <c r="H31" s="10">
        <f t="shared" si="11"/>
        <v>0.29496049453473616</v>
      </c>
      <c r="I31" s="10">
        <f t="shared" si="11"/>
        <v>0.28632033075678592</v>
      </c>
      <c r="J31" s="10">
        <f t="shared" si="11"/>
        <v>0.30090460794879331</v>
      </c>
      <c r="K31" s="10">
        <f t="shared" si="11"/>
        <v>0.31141094094702176</v>
      </c>
      <c r="L31" s="10">
        <f t="shared" si="11"/>
        <v>0.31927781698423902</v>
      </c>
    </row>
    <row r="33" spans="1:12" x14ac:dyDescent="0.25">
      <c r="B33" s="21" t="s">
        <v>95</v>
      </c>
      <c r="C33" s="24">
        <f>IFERROR(C27-C30,0)</f>
        <v>10369</v>
      </c>
      <c r="D33" s="24">
        <f t="shared" ref="D33:L33" si="12">IFERROR(D27-D30,0)</f>
        <v>11303</v>
      </c>
      <c r="E33" s="24">
        <f t="shared" si="12"/>
        <v>12718</v>
      </c>
      <c r="F33" s="24">
        <f t="shared" si="12"/>
        <v>12528</v>
      </c>
      <c r="G33" s="24">
        <f t="shared" si="12"/>
        <v>13836</v>
      </c>
      <c r="H33" s="24">
        <f t="shared" si="12"/>
        <v>17222</v>
      </c>
      <c r="I33" s="24">
        <f t="shared" si="12"/>
        <v>19851</v>
      </c>
      <c r="J33" s="24">
        <f t="shared" si="12"/>
        <v>21407</v>
      </c>
      <c r="K33" s="24">
        <f t="shared" si="12"/>
        <v>21537</v>
      </c>
      <c r="L33" s="24">
        <f t="shared" si="12"/>
        <v>23150</v>
      </c>
    </row>
    <row r="34" spans="1:12" x14ac:dyDescent="0.25">
      <c r="B34" s="9" t="s">
        <v>96</v>
      </c>
      <c r="C34" s="10">
        <f>IFERROR(C33/C6,0)</f>
        <v>0.16606076135872264</v>
      </c>
      <c r="D34" s="10">
        <f t="shared" ref="D34:L34" si="13">IFERROR(D33/D6,0)</f>
        <v>0.16504585012557677</v>
      </c>
      <c r="E34" s="10">
        <f t="shared" si="13"/>
        <v>0.18034088653186239</v>
      </c>
      <c r="F34" s="10">
        <f t="shared" si="13"/>
        <v>0.1515331115814938</v>
      </c>
      <c r="G34" s="10">
        <f t="shared" si="13"/>
        <v>0.15239395975372008</v>
      </c>
      <c r="H34" s="10">
        <f t="shared" si="13"/>
        <v>0.17141094036149376</v>
      </c>
      <c r="I34" s="10">
        <f t="shared" si="13"/>
        <v>0.16319333119589613</v>
      </c>
      <c r="J34" s="10">
        <f t="shared" si="13"/>
        <v>0.14585703870761138</v>
      </c>
      <c r="K34" s="10">
        <f t="shared" si="13"/>
        <v>0.14015097286392919</v>
      </c>
      <c r="L34" s="10">
        <f t="shared" si="13"/>
        <v>0.14203325357383889</v>
      </c>
    </row>
    <row r="36" spans="1:12" x14ac:dyDescent="0.25">
      <c r="B36" t="s">
        <v>39</v>
      </c>
      <c r="C36">
        <f>IFERROR('Data Sheet'!B95,0)</f>
        <v>459.39</v>
      </c>
      <c r="D36">
        <f>IFERROR('Data Sheet'!C95,0)</f>
        <v>459.39</v>
      </c>
      <c r="E36">
        <f>IFERROR('Data Sheet'!D95,0)</f>
        <v>436.82</v>
      </c>
      <c r="F36">
        <f>IFERROR('Data Sheet'!E95,0)</f>
        <v>436.89</v>
      </c>
      <c r="G36">
        <f>IFERROR('Data Sheet'!F95,0)</f>
        <v>425.9</v>
      </c>
      <c r="H36">
        <f>IFERROR('Data Sheet'!G95,0)</f>
        <v>426.07</v>
      </c>
      <c r="I36">
        <f>IFERROR('Data Sheet'!H95,0)</f>
        <v>420.67</v>
      </c>
      <c r="J36">
        <f>IFERROR('Data Sheet'!I95,0)</f>
        <v>414.86</v>
      </c>
      <c r="K36">
        <f>IFERROR('Data Sheet'!J95,0)</f>
        <v>415.09</v>
      </c>
      <c r="L36">
        <f>IFERROR('Data Sheet'!K95,0)</f>
        <v>415.33</v>
      </c>
    </row>
    <row r="38" spans="1:12" x14ac:dyDescent="0.25">
      <c r="B38" t="s">
        <v>97</v>
      </c>
      <c r="C38" s="16">
        <f>IFERROR(C33/C36,0)</f>
        <v>22.571235769172162</v>
      </c>
      <c r="D38" s="16">
        <f t="shared" ref="D38:L38" si="14">IFERROR(D33/D36,0)</f>
        <v>24.604366660136268</v>
      </c>
      <c r="E38" s="16">
        <f t="shared" si="14"/>
        <v>29.114967263403692</v>
      </c>
      <c r="F38" s="16">
        <f t="shared" si="14"/>
        <v>28.6754102863421</v>
      </c>
      <c r="G38" s="16">
        <f t="shared" si="14"/>
        <v>32.486499178210849</v>
      </c>
      <c r="H38" s="16">
        <f t="shared" si="14"/>
        <v>40.420588166263762</v>
      </c>
      <c r="I38" s="16">
        <f t="shared" si="14"/>
        <v>47.189008011030019</v>
      </c>
      <c r="J38" s="16">
        <f t="shared" si="14"/>
        <v>51.600539941184977</v>
      </c>
      <c r="K38" s="16">
        <f t="shared" si="14"/>
        <v>51.885133344575877</v>
      </c>
      <c r="L38" s="16">
        <f t="shared" si="14"/>
        <v>55.738810102809815</v>
      </c>
    </row>
    <row r="39" spans="1:12" x14ac:dyDescent="0.25">
      <c r="B39" s="9" t="s">
        <v>99</v>
      </c>
      <c r="C39" s="10"/>
      <c r="D39" s="10">
        <f>IFERROR(D38/C38-1,0)</f>
        <v>9.0076188639213184E-2</v>
      </c>
      <c r="E39" s="10">
        <f t="shared" ref="E39:K39" si="15">IFERROR(E38/D38-1,0)</f>
        <v>0.1833252066827411</v>
      </c>
      <c r="F39" s="10">
        <f t="shared" si="15"/>
        <v>-1.5097285636109792E-2</v>
      </c>
      <c r="G39" s="10">
        <f t="shared" si="15"/>
        <v>0.13290442416734827</v>
      </c>
      <c r="H39" s="10">
        <f t="shared" si="15"/>
        <v>0.24422726944288353</v>
      </c>
      <c r="I39" s="10">
        <f t="shared" si="15"/>
        <v>0.16744981089650213</v>
      </c>
      <c r="J39" s="10">
        <f t="shared" si="15"/>
        <v>9.3486430762091954E-2</v>
      </c>
      <c r="K39" s="10">
        <f t="shared" si="15"/>
        <v>5.5153183225462588E-3</v>
      </c>
      <c r="L39" s="10">
        <f>IFERROR(L38/K38-1,0)</f>
        <v>7.4273236085588668E-2</v>
      </c>
    </row>
    <row r="41" spans="1:12" x14ac:dyDescent="0.25">
      <c r="B41" t="s">
        <v>98</v>
      </c>
      <c r="C41" s="16">
        <f>IFERROR('Data Sheet'!B31/HistoricalFS!C36,0)</f>
        <v>12.077755284181196</v>
      </c>
      <c r="D41" s="16">
        <f>IFERROR('Data Sheet'!C31/HistoricalFS!D36,0)</f>
        <v>12.824832930625396</v>
      </c>
      <c r="E41" s="16">
        <f>IFERROR('Data Sheet'!D31/HistoricalFS!E36,0)</f>
        <v>21.669337484547412</v>
      </c>
      <c r="F41" s="16">
        <f>IFERROR('Data Sheet'!E31/HistoricalFS!F36,0)</f>
        <v>21.109432580283368</v>
      </c>
      <c r="G41" s="16">
        <f>IFERROR('Data Sheet'!F31/HistoricalFS!G36,0)</f>
        <v>17.438365813571263</v>
      </c>
      <c r="H41" s="16">
        <f>IFERROR('Data Sheet'!G31/HistoricalFS!H36,0)</f>
        <v>26.919520266622857</v>
      </c>
      <c r="I41" s="16">
        <f>IFERROR('Data Sheet'!H31/HistoricalFS!I36,0)</f>
        <v>30.921149594694178</v>
      </c>
      <c r="J41" s="16">
        <f>IFERROR('Data Sheet'!I31/HistoricalFS!J36,0)</f>
        <v>33.913127320059779</v>
      </c>
      <c r="K41" s="16">
        <f>IFERROR('Data Sheet'!J31/HistoricalFS!K36,0)</f>
        <v>45.901370787058234</v>
      </c>
      <c r="L41" s="16">
        <f>IFERROR('Data Sheet'!K31/HistoricalFS!L36,0)</f>
        <v>42.924421544314157</v>
      </c>
    </row>
    <row r="42" spans="1:12" x14ac:dyDescent="0.25">
      <c r="B42" s="9" t="s">
        <v>100</v>
      </c>
      <c r="C42" s="10">
        <f>IFERROR(C41/C38,0)</f>
        <v>0.53509499469572763</v>
      </c>
      <c r="D42" s="10">
        <f t="shared" ref="D42:L42" si="16">IFERROR(D41/D38,0)</f>
        <v>0.52124214810227376</v>
      </c>
      <c r="E42" s="10">
        <f t="shared" si="16"/>
        <v>0.74426796666142481</v>
      </c>
      <c r="F42" s="10">
        <f t="shared" si="16"/>
        <v>0.73615102171136659</v>
      </c>
      <c r="G42" s="10">
        <f t="shared" si="16"/>
        <v>0.53678808904307607</v>
      </c>
      <c r="H42" s="10">
        <f t="shared" si="16"/>
        <v>0.66598536755312976</v>
      </c>
      <c r="I42" s="10">
        <f t="shared" si="16"/>
        <v>0.6552616996624856</v>
      </c>
      <c r="J42" s="10">
        <f t="shared" si="16"/>
        <v>0.65722427243425052</v>
      </c>
      <c r="K42" s="10">
        <f t="shared" si="16"/>
        <v>0.8846728885174352</v>
      </c>
      <c r="L42" s="10">
        <f t="shared" si="16"/>
        <v>0.77009935205183577</v>
      </c>
    </row>
    <row r="44" spans="1:12" x14ac:dyDescent="0.25">
      <c r="B44" t="s">
        <v>101</v>
      </c>
      <c r="C44" s="19">
        <f>IFERROR(IF(C38&gt;C41,1-C42,0),0)</f>
        <v>0.46490500530427237</v>
      </c>
      <c r="D44" s="19">
        <f t="shared" ref="D44:L44" si="17">IFERROR(IF(D38&gt;D41,1-D42,0),0)</f>
        <v>0.47875785189772624</v>
      </c>
      <c r="E44" s="19">
        <f t="shared" si="17"/>
        <v>0.25573203333857519</v>
      </c>
      <c r="F44" s="19">
        <f t="shared" si="17"/>
        <v>0.26384897828863341</v>
      </c>
      <c r="G44" s="19">
        <f t="shared" si="17"/>
        <v>0.46321191095692393</v>
      </c>
      <c r="H44" s="19">
        <f t="shared" si="17"/>
        <v>0.33401463244687024</v>
      </c>
      <c r="I44" s="19">
        <f t="shared" si="17"/>
        <v>0.3447383003375144</v>
      </c>
      <c r="J44" s="19">
        <f t="shared" si="17"/>
        <v>0.34277572756574948</v>
      </c>
      <c r="K44" s="19">
        <f t="shared" si="17"/>
        <v>0.1153271114825648</v>
      </c>
      <c r="L44" s="19">
        <f t="shared" si="17"/>
        <v>0.22990064794816423</v>
      </c>
    </row>
    <row r="46" spans="1:12" x14ac:dyDescent="0.25">
      <c r="A46" s="2" t="s">
        <v>56</v>
      </c>
      <c r="B46" s="17" t="s">
        <v>102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 spans="1:12" x14ac:dyDescent="0.25">
      <c r="B47" s="4" t="s">
        <v>11</v>
      </c>
      <c r="C47" s="16">
        <f>IFERROR('Data Sheet'!B57,0)</f>
        <v>1144</v>
      </c>
      <c r="D47" s="16">
        <f>IFERROR('Data Sheet'!C57,0)</f>
        <v>1144</v>
      </c>
      <c r="E47" s="16">
        <f>IFERROR('Data Sheet'!D57,0)</f>
        <v>1088</v>
      </c>
      <c r="F47" s="16">
        <f>IFERROR('Data Sheet'!E57,0)</f>
        <v>2170</v>
      </c>
      <c r="G47" s="16">
        <f>IFERROR('Data Sheet'!F57,0)</f>
        <v>2122</v>
      </c>
      <c r="H47" s="16">
        <f>IFERROR('Data Sheet'!G57,0)</f>
        <v>2124</v>
      </c>
      <c r="I47" s="16">
        <f>IFERROR('Data Sheet'!H57,0)</f>
        <v>2098</v>
      </c>
      <c r="J47" s="16">
        <f>IFERROR('Data Sheet'!I57,0)</f>
        <v>2069</v>
      </c>
      <c r="K47" s="16">
        <f>IFERROR('Data Sheet'!J57,0)</f>
        <v>2071</v>
      </c>
      <c r="L47" s="16">
        <f>IFERROR('Data Sheet'!K57,0)</f>
        <v>2073</v>
      </c>
    </row>
    <row r="48" spans="1:12" x14ac:dyDescent="0.25">
      <c r="B48" s="4" t="s">
        <v>12</v>
      </c>
      <c r="C48" s="16">
        <f>IFERROR('Data Sheet'!B58,0)</f>
        <v>60600</v>
      </c>
      <c r="D48" s="16">
        <f>IFERROR('Data Sheet'!C58,0)</f>
        <v>67838</v>
      </c>
      <c r="E48" s="16">
        <f>IFERROR('Data Sheet'!D58,0)</f>
        <v>63835</v>
      </c>
      <c r="F48" s="16">
        <f>IFERROR('Data Sheet'!E58,0)</f>
        <v>62778</v>
      </c>
      <c r="G48" s="16">
        <f>IFERROR('Data Sheet'!F58,0)</f>
        <v>63328</v>
      </c>
      <c r="H48" s="16">
        <f>IFERROR('Data Sheet'!G58,0)</f>
        <v>74227</v>
      </c>
      <c r="I48" s="16">
        <f>IFERROR('Data Sheet'!H58,0)</f>
        <v>73252</v>
      </c>
      <c r="J48" s="16">
        <f>IFERROR('Data Sheet'!I58,0)</f>
        <v>73338</v>
      </c>
      <c r="K48" s="16">
        <f>IFERROR('Data Sheet'!J58,0)</f>
        <v>86045</v>
      </c>
      <c r="L48" s="16">
        <f>IFERROR('Data Sheet'!K58,0)</f>
        <v>93745</v>
      </c>
    </row>
    <row r="49" spans="2:14" x14ac:dyDescent="0.25">
      <c r="B49" s="4" t="s">
        <v>36</v>
      </c>
      <c r="C49" s="16">
        <f>IFERROR('Data Sheet'!B59,0)</f>
        <v>0</v>
      </c>
      <c r="D49" s="16">
        <f>IFERROR('Data Sheet'!C59,0)</f>
        <v>0</v>
      </c>
      <c r="E49" s="16">
        <f>IFERROR('Data Sheet'!D59,0)</f>
        <v>0</v>
      </c>
      <c r="F49" s="16">
        <f>IFERROR('Data Sheet'!E59,0)</f>
        <v>0</v>
      </c>
      <c r="G49" s="16">
        <f>IFERROR('Data Sheet'!F59,0)</f>
        <v>4633</v>
      </c>
      <c r="H49" s="16">
        <f>IFERROR('Data Sheet'!G59,0)</f>
        <v>5325</v>
      </c>
      <c r="I49" s="16">
        <f>IFERROR('Data Sheet'!H59,0)</f>
        <v>5474</v>
      </c>
      <c r="J49" s="16">
        <f>IFERROR('Data Sheet'!I59,0)</f>
        <v>8299</v>
      </c>
      <c r="K49" s="16">
        <f>IFERROR('Data Sheet'!J59,0)</f>
        <v>8359</v>
      </c>
      <c r="L49" s="16">
        <f>IFERROR('Data Sheet'!K59,0)</f>
        <v>8227</v>
      </c>
    </row>
    <row r="50" spans="2:14" x14ac:dyDescent="0.25">
      <c r="B50" s="4" t="s">
        <v>37</v>
      </c>
      <c r="C50" s="16">
        <f>IFERROR('Data Sheet'!B60,0)</f>
        <v>13354</v>
      </c>
      <c r="D50" s="16">
        <f>IFERROR('Data Sheet'!C60,0)</f>
        <v>14166</v>
      </c>
      <c r="E50" s="16">
        <f>IFERROR('Data Sheet'!D60,0)</f>
        <v>14426</v>
      </c>
      <c r="F50" s="16">
        <f>IFERROR('Data Sheet'!E60,0)</f>
        <v>19118</v>
      </c>
      <c r="G50" s="16">
        <f>IFERROR('Data Sheet'!F60,0)</f>
        <v>21717</v>
      </c>
      <c r="H50" s="16">
        <f>IFERROR('Data Sheet'!G60,0)</f>
        <v>25835</v>
      </c>
      <c r="I50" s="16">
        <f>IFERROR('Data Sheet'!H60,0)</f>
        <v>35905</v>
      </c>
      <c r="J50" s="16">
        <f>IFERROR('Data Sheet'!I60,0)</f>
        <v>40890</v>
      </c>
      <c r="K50" s="16">
        <f>IFERROR('Data Sheet'!J60,0)</f>
        <v>40885</v>
      </c>
      <c r="L50" s="16">
        <f>IFERROR('Data Sheet'!K60,0)</f>
        <v>43750</v>
      </c>
    </row>
    <row r="51" spans="2:14" x14ac:dyDescent="0.25">
      <c r="B51" s="23" t="s">
        <v>103</v>
      </c>
      <c r="C51" s="24">
        <f>IFERROR('Data Sheet'!B61,0)</f>
        <v>75098</v>
      </c>
      <c r="D51" s="24">
        <f>IFERROR('Data Sheet'!C61,0)</f>
        <v>83148</v>
      </c>
      <c r="E51" s="24">
        <f>IFERROR('Data Sheet'!D61,0)</f>
        <v>79349</v>
      </c>
      <c r="F51" s="24">
        <f>IFERROR('Data Sheet'!E61,0)</f>
        <v>84066</v>
      </c>
      <c r="G51" s="24">
        <f>IFERROR('Data Sheet'!F61,0)</f>
        <v>91800</v>
      </c>
      <c r="H51" s="24">
        <f>IFERROR('Data Sheet'!G61,0)</f>
        <v>107511</v>
      </c>
      <c r="I51" s="24">
        <f>IFERROR('Data Sheet'!H61,0)</f>
        <v>116729</v>
      </c>
      <c r="J51" s="24">
        <f>IFERROR('Data Sheet'!I61,0)</f>
        <v>124596</v>
      </c>
      <c r="K51" s="24">
        <f>IFERROR('Data Sheet'!J61,0)</f>
        <v>137360</v>
      </c>
      <c r="L51" s="24">
        <f>IFERROR('Data Sheet'!K61,0)</f>
        <v>147795</v>
      </c>
    </row>
    <row r="52" spans="2:14" x14ac:dyDescent="0.25">
      <c r="B52" s="1"/>
      <c r="C52" s="16"/>
      <c r="D52" s="16"/>
      <c r="E52" s="16"/>
      <c r="F52" s="16"/>
      <c r="G52" s="16"/>
      <c r="H52" s="16"/>
      <c r="I52" s="16"/>
      <c r="J52" s="16"/>
      <c r="K52" s="16"/>
      <c r="L52" s="16"/>
    </row>
    <row r="53" spans="2:14" x14ac:dyDescent="0.25">
      <c r="B53" s="4" t="s">
        <v>104</v>
      </c>
      <c r="C53" s="16">
        <f>IFERROR('Data Sheet'!B62,0)</f>
        <v>13386</v>
      </c>
      <c r="D53" s="16">
        <f>IFERROR('Data Sheet'!C62,0)</f>
        <v>14179</v>
      </c>
      <c r="E53" s="16">
        <f>IFERROR('Data Sheet'!D62,0)</f>
        <v>12574</v>
      </c>
      <c r="F53" s="16">
        <f>IFERROR('Data Sheet'!E62,0)</f>
        <v>15710</v>
      </c>
      <c r="G53" s="16">
        <f>IFERROR('Data Sheet'!F62,0)</f>
        <v>23789</v>
      </c>
      <c r="H53" s="16">
        <f>IFERROR('Data Sheet'!G62,0)</f>
        <v>25505</v>
      </c>
      <c r="I53" s="16">
        <f>IFERROR('Data Sheet'!H62,0)</f>
        <v>25800</v>
      </c>
      <c r="J53" s="16">
        <f>IFERROR('Data Sheet'!I62,0)</f>
        <v>29225</v>
      </c>
      <c r="K53" s="16">
        <f>IFERROR('Data Sheet'!J62,0)</f>
        <v>27622</v>
      </c>
      <c r="L53" s="16">
        <f>IFERROR('Data Sheet'!K62,0)</f>
        <v>30961</v>
      </c>
    </row>
    <row r="54" spans="2:14" x14ac:dyDescent="0.25">
      <c r="B54" s="4" t="s">
        <v>15</v>
      </c>
      <c r="C54" s="16">
        <f>IFERROR('Data Sheet'!B63,0)</f>
        <v>960</v>
      </c>
      <c r="D54" s="16">
        <f>IFERROR('Data Sheet'!C63,0)</f>
        <v>1365</v>
      </c>
      <c r="E54" s="16">
        <f>IFERROR('Data Sheet'!D63,0)</f>
        <v>1606</v>
      </c>
      <c r="F54" s="16">
        <f>IFERROR('Data Sheet'!E63,0)</f>
        <v>1388</v>
      </c>
      <c r="G54" s="16">
        <f>IFERROR('Data Sheet'!F63,0)</f>
        <v>954</v>
      </c>
      <c r="H54" s="16">
        <f>IFERROR('Data Sheet'!G63,0)</f>
        <v>922</v>
      </c>
      <c r="I54" s="16">
        <f>IFERROR('Data Sheet'!H63,0)</f>
        <v>416</v>
      </c>
      <c r="J54" s="16">
        <f>IFERROR('Data Sheet'!I63,0)</f>
        <v>288</v>
      </c>
      <c r="K54" s="16">
        <f>IFERROR('Data Sheet'!J63,0)</f>
        <v>293</v>
      </c>
      <c r="L54" s="16">
        <f>IFERROR('Data Sheet'!K63,0)</f>
        <v>814</v>
      </c>
    </row>
    <row r="55" spans="2:14" x14ac:dyDescent="0.25">
      <c r="B55" s="4" t="s">
        <v>16</v>
      </c>
      <c r="C55" s="16">
        <f>IFERROR('Data Sheet'!B64,0)</f>
        <v>1892</v>
      </c>
      <c r="D55" s="16">
        <f>IFERROR('Data Sheet'!C64,0)</f>
        <v>16423</v>
      </c>
      <c r="E55" s="16">
        <f>IFERROR('Data Sheet'!D64,0)</f>
        <v>12163</v>
      </c>
      <c r="F55" s="16">
        <f>IFERROR('Data Sheet'!E64,0)</f>
        <v>11261</v>
      </c>
      <c r="G55" s="16">
        <f>IFERROR('Data Sheet'!F64,0)</f>
        <v>8792</v>
      </c>
      <c r="H55" s="16">
        <f>IFERROR('Data Sheet'!G64,0)</f>
        <v>14205</v>
      </c>
      <c r="I55" s="16">
        <f>IFERROR('Data Sheet'!H64,0)</f>
        <v>20324</v>
      </c>
      <c r="J55" s="16">
        <f>IFERROR('Data Sheet'!I64,0)</f>
        <v>19478</v>
      </c>
      <c r="K55" s="16">
        <f>IFERROR('Data Sheet'!J64,0)</f>
        <v>24623</v>
      </c>
      <c r="L55" s="16">
        <f>IFERROR('Data Sheet'!K64,0)</f>
        <v>23541</v>
      </c>
    </row>
    <row r="56" spans="2:14" x14ac:dyDescent="0.25">
      <c r="B56" s="4" t="s">
        <v>38</v>
      </c>
      <c r="C56" s="16">
        <f>IFERROR('Data Sheet'!B65-SUM('Data Sheet'!B67:B69),0)</f>
        <v>14833</v>
      </c>
      <c r="D56" s="16">
        <f>IFERROR('Data Sheet'!C65-SUM('Data Sheet'!C67:C69),0)</f>
        <v>16234</v>
      </c>
      <c r="E56" s="16">
        <f>IFERROR('Data Sheet'!D65-SUM('Data Sheet'!D67:D69),0)</f>
        <v>20046</v>
      </c>
      <c r="F56" s="16">
        <f>IFERROR('Data Sheet'!E65-SUM('Data Sheet'!E67:E69),0)</f>
        <v>21312</v>
      </c>
      <c r="G56" s="16">
        <f>IFERROR('Data Sheet'!F65-SUM('Data Sheet'!F67:F69),0)</f>
        <v>21129</v>
      </c>
      <c r="H56" s="16">
        <f>IFERROR('Data Sheet'!G65-SUM('Data Sheet'!G67:G69),0)</f>
        <v>22871</v>
      </c>
      <c r="I56" s="16">
        <f>IFERROR('Data Sheet'!H65-SUM('Data Sheet'!H67:H69),0)</f>
        <v>30019</v>
      </c>
      <c r="J56" s="16">
        <f>IFERROR('Data Sheet'!I65-SUM('Data Sheet'!I67:I69),0)</f>
        <v>38008</v>
      </c>
      <c r="K56" s="16">
        <f>IFERROR('Data Sheet'!J65-SUM('Data Sheet'!J67:J69),0)</f>
        <v>39843</v>
      </c>
      <c r="L56" s="16">
        <f>IFERROR('Data Sheet'!K65-SUM('Data Sheet'!K67:K69),0)</f>
        <v>36866</v>
      </c>
    </row>
    <row r="57" spans="2:14" x14ac:dyDescent="0.25">
      <c r="B57" s="23" t="s">
        <v>105</v>
      </c>
      <c r="C57" s="24">
        <f>IFERROR(SUM(C53:C56),0)</f>
        <v>31071</v>
      </c>
      <c r="D57" s="24">
        <f t="shared" ref="D57:L57" si="18">IFERROR(SUM(D53:D56),0)</f>
        <v>48201</v>
      </c>
      <c r="E57" s="24">
        <f t="shared" si="18"/>
        <v>46389</v>
      </c>
      <c r="F57" s="24">
        <f t="shared" si="18"/>
        <v>49671</v>
      </c>
      <c r="G57" s="24">
        <f t="shared" si="18"/>
        <v>54664</v>
      </c>
      <c r="H57" s="24">
        <f t="shared" si="18"/>
        <v>63503</v>
      </c>
      <c r="I57" s="24">
        <f t="shared" si="18"/>
        <v>76559</v>
      </c>
      <c r="J57" s="24">
        <f t="shared" si="18"/>
        <v>86999</v>
      </c>
      <c r="K57" s="24">
        <f t="shared" si="18"/>
        <v>92381</v>
      </c>
      <c r="L57" s="24">
        <f t="shared" si="18"/>
        <v>92182</v>
      </c>
    </row>
    <row r="58" spans="2:14" x14ac:dyDescent="0.25">
      <c r="B58" s="1"/>
      <c r="C58" s="16"/>
      <c r="D58" s="16"/>
      <c r="E58" s="16"/>
      <c r="F58" s="16"/>
      <c r="G58" s="16"/>
      <c r="H58" s="16"/>
      <c r="I58" s="16"/>
      <c r="J58" s="16"/>
      <c r="K58" s="16"/>
      <c r="L58" s="16"/>
    </row>
    <row r="59" spans="2:14" x14ac:dyDescent="0.25">
      <c r="B59" s="4" t="s">
        <v>43</v>
      </c>
      <c r="C59" s="14">
        <f>IFERROR('Data Sheet'!B67,0)</f>
        <v>11330</v>
      </c>
      <c r="D59" s="14">
        <f>IFERROR('Data Sheet'!C67,0)</f>
        <v>12322</v>
      </c>
      <c r="E59" s="14">
        <f>IFERROR('Data Sheet'!D67,0)</f>
        <v>13142</v>
      </c>
      <c r="F59" s="14">
        <f>IFERROR('Data Sheet'!E67,0)</f>
        <v>14827</v>
      </c>
      <c r="G59" s="14">
        <f>IFERROR('Data Sheet'!F67,0)</f>
        <v>18487</v>
      </c>
      <c r="H59" s="14">
        <f>IFERROR('Data Sheet'!G67,0)</f>
        <v>19294</v>
      </c>
      <c r="I59" s="14">
        <f>IFERROR('Data Sheet'!H67,0)</f>
        <v>22698</v>
      </c>
      <c r="J59" s="14">
        <f>IFERROR('Data Sheet'!I67,0)</f>
        <v>25424</v>
      </c>
      <c r="K59" s="14">
        <f>IFERROR('Data Sheet'!J67,0)</f>
        <v>30193</v>
      </c>
      <c r="L59" s="14">
        <f>IFERROR('Data Sheet'!K67,0)</f>
        <v>31158</v>
      </c>
    </row>
    <row r="60" spans="2:14" x14ac:dyDescent="0.25">
      <c r="B60" s="4" t="s">
        <v>30</v>
      </c>
      <c r="C60" s="14">
        <f>IFERROR('Data Sheet'!B68,0)</f>
        <v>0</v>
      </c>
      <c r="D60" s="14">
        <f>IFERROR('Data Sheet'!C68,0)</f>
        <v>0</v>
      </c>
      <c r="E60" s="14">
        <f>IFERROR('Data Sheet'!D68,0)</f>
        <v>0</v>
      </c>
      <c r="F60" s="14">
        <f>IFERROR('Data Sheet'!E68,0)</f>
        <v>0</v>
      </c>
      <c r="G60" s="14">
        <f>IFERROR('Data Sheet'!F68,0)</f>
        <v>0</v>
      </c>
      <c r="H60" s="14">
        <f>IFERROR('Data Sheet'!G68,0)</f>
        <v>0</v>
      </c>
      <c r="I60" s="14">
        <f>IFERROR('Data Sheet'!H68,0)</f>
        <v>0</v>
      </c>
      <c r="J60" s="14">
        <f>IFERROR('Data Sheet'!I68,0)</f>
        <v>0</v>
      </c>
      <c r="K60" s="14">
        <f>IFERROR('Data Sheet'!J68,0)</f>
        <v>0</v>
      </c>
      <c r="L60" s="14">
        <f>IFERROR('Data Sheet'!K68,0)</f>
        <v>0</v>
      </c>
    </row>
    <row r="61" spans="2:14" x14ac:dyDescent="0.25">
      <c r="B61" s="3" t="s">
        <v>52</v>
      </c>
      <c r="C61" s="14">
        <f>IFERROR('Data Sheet'!B69,0)</f>
        <v>32697</v>
      </c>
      <c r="D61" s="14">
        <f>IFERROR('Data Sheet'!C69,0)</f>
        <v>22625</v>
      </c>
      <c r="E61" s="14">
        <f>IFERROR('Data Sheet'!D69,0)</f>
        <v>19818</v>
      </c>
      <c r="F61" s="14">
        <f>IFERROR('Data Sheet'!E69,0)</f>
        <v>19568</v>
      </c>
      <c r="G61" s="14">
        <f>IFERROR('Data Sheet'!F69,0)</f>
        <v>18649</v>
      </c>
      <c r="H61" s="14">
        <f>IFERROR('Data Sheet'!G69,0)</f>
        <v>24714</v>
      </c>
      <c r="I61" s="14">
        <f>IFERROR('Data Sheet'!H69,0)</f>
        <v>17472</v>
      </c>
      <c r="J61" s="14">
        <f>IFERROR('Data Sheet'!I69,0)</f>
        <v>12173</v>
      </c>
      <c r="K61" s="14">
        <f>IFERROR('Data Sheet'!J69,0)</f>
        <v>14786</v>
      </c>
      <c r="L61" s="14">
        <f>IFERROR('Data Sheet'!K69,0)</f>
        <v>24455</v>
      </c>
    </row>
    <row r="62" spans="2:14" x14ac:dyDescent="0.25">
      <c r="B62" s="23" t="s">
        <v>106</v>
      </c>
      <c r="C62" s="24">
        <f>IFERROR(SUM(C59:C61),0)</f>
        <v>44027</v>
      </c>
      <c r="D62" s="24">
        <f t="shared" ref="D62:L62" si="19">IFERROR(SUM(D59:D61),0)</f>
        <v>34947</v>
      </c>
      <c r="E62" s="24">
        <f t="shared" si="19"/>
        <v>32960</v>
      </c>
      <c r="F62" s="24">
        <f t="shared" si="19"/>
        <v>34395</v>
      </c>
      <c r="G62" s="24">
        <f t="shared" si="19"/>
        <v>37136</v>
      </c>
      <c r="H62" s="24">
        <f t="shared" si="19"/>
        <v>44008</v>
      </c>
      <c r="I62" s="24">
        <f t="shared" si="19"/>
        <v>40170</v>
      </c>
      <c r="J62" s="24">
        <f t="shared" si="19"/>
        <v>37597</v>
      </c>
      <c r="K62" s="24">
        <f t="shared" si="19"/>
        <v>44979</v>
      </c>
      <c r="L62" s="24">
        <f t="shared" si="19"/>
        <v>55613</v>
      </c>
      <c r="N62" s="2"/>
    </row>
    <row r="63" spans="2:14" x14ac:dyDescent="0.25">
      <c r="C63" s="16"/>
      <c r="D63" s="16"/>
      <c r="E63" s="16"/>
      <c r="F63" s="16"/>
      <c r="G63" s="16"/>
      <c r="H63" s="16"/>
      <c r="I63" s="16"/>
      <c r="J63" s="16"/>
      <c r="K63" s="16"/>
      <c r="L63" s="16"/>
    </row>
    <row r="64" spans="2:14" x14ac:dyDescent="0.25">
      <c r="B64" s="25" t="s">
        <v>107</v>
      </c>
      <c r="C64" s="24">
        <f>IFERROR(SUM(C62,C57),0)</f>
        <v>75098</v>
      </c>
      <c r="D64" s="24">
        <f t="shared" ref="D64:L64" si="20">IFERROR(SUM(D62,D57),0)</f>
        <v>83148</v>
      </c>
      <c r="E64" s="24">
        <f t="shared" si="20"/>
        <v>79349</v>
      </c>
      <c r="F64" s="24">
        <f t="shared" si="20"/>
        <v>84066</v>
      </c>
      <c r="G64" s="24">
        <f t="shared" si="20"/>
        <v>91800</v>
      </c>
      <c r="H64" s="24">
        <f t="shared" si="20"/>
        <v>107511</v>
      </c>
      <c r="I64" s="24">
        <f t="shared" si="20"/>
        <v>116729</v>
      </c>
      <c r="J64" s="24">
        <f t="shared" si="20"/>
        <v>124596</v>
      </c>
      <c r="K64" s="24">
        <f t="shared" si="20"/>
        <v>137360</v>
      </c>
      <c r="L64" s="24">
        <f t="shared" si="20"/>
        <v>147795</v>
      </c>
    </row>
    <row r="66" spans="1:12" x14ac:dyDescent="0.25">
      <c r="B66" s="20" t="s">
        <v>108</v>
      </c>
      <c r="C66" s="20" t="b">
        <f>C64=C51</f>
        <v>1</v>
      </c>
      <c r="D66" s="20" t="b">
        <f t="shared" ref="D66:L66" si="21">D64=D51</f>
        <v>1</v>
      </c>
      <c r="E66" s="20" t="b">
        <f t="shared" si="21"/>
        <v>1</v>
      </c>
      <c r="F66" s="20" t="b">
        <f t="shared" si="21"/>
        <v>1</v>
      </c>
      <c r="G66" s="20" t="b">
        <f t="shared" si="21"/>
        <v>1</v>
      </c>
      <c r="H66" s="20" t="b">
        <f t="shared" si="21"/>
        <v>1</v>
      </c>
      <c r="I66" s="20" t="b">
        <f t="shared" si="21"/>
        <v>1</v>
      </c>
      <c r="J66" s="20" t="b">
        <f t="shared" si="21"/>
        <v>1</v>
      </c>
      <c r="K66" s="20" t="b">
        <f t="shared" si="21"/>
        <v>1</v>
      </c>
      <c r="L66" s="20" t="b">
        <f t="shared" si="21"/>
        <v>1</v>
      </c>
    </row>
    <row r="68" spans="1:12" x14ac:dyDescent="0.25">
      <c r="A68" s="2" t="s">
        <v>56</v>
      </c>
      <c r="B68" s="17" t="s">
        <v>109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 spans="1:12" x14ac:dyDescent="0.25">
      <c r="B69" s="2" t="s">
        <v>111</v>
      </c>
    </row>
    <row r="70" spans="1:12" x14ac:dyDescent="0.25">
      <c r="B70" t="s">
        <v>68</v>
      </c>
      <c r="C70" s="14">
        <f>IFERROR('Cash Flow Data'!E5,0)</f>
        <v>17839</v>
      </c>
      <c r="D70" s="14">
        <f>IFERROR('Cash Flow Data'!F5,0)</f>
        <v>19340</v>
      </c>
      <c r="E70" s="14">
        <f>IFERROR('Cash Flow Data'!G5,0)</f>
        <v>19963</v>
      </c>
      <c r="F70" s="14">
        <f>IFERROR('Cash Flow Data'!H5,0)</f>
        <v>22126</v>
      </c>
      <c r="G70" s="14">
        <f>IFERROR('Cash Flow Data'!I5,0)</f>
        <v>23920</v>
      </c>
      <c r="H70" s="14">
        <f>IFERROR('Cash Flow Data'!J5,0)</f>
        <v>28845</v>
      </c>
      <c r="I70" s="14">
        <f>IFERROR('Cash Flow Data'!K5,0)</f>
        <v>32921</v>
      </c>
      <c r="J70" s="14">
        <f>IFERROR('Cash Flow Data'!L5,0)</f>
        <v>37605</v>
      </c>
      <c r="K70" s="14">
        <f>IFERROR('Cash Flow Data'!M5,0)</f>
        <v>39523</v>
      </c>
      <c r="L70" s="14">
        <f>IFERROR('Cash Flow Data'!N5,0)</f>
        <v>41591</v>
      </c>
    </row>
    <row r="71" spans="1:12" x14ac:dyDescent="0.25">
      <c r="B71" t="s">
        <v>43</v>
      </c>
      <c r="C71" s="14">
        <f>IFERROR('Cash Flow Data'!E6,0)</f>
        <v>-1654</v>
      </c>
      <c r="D71" s="14">
        <f>IFERROR('Cash Flow Data'!F6,0)</f>
        <v>-1743</v>
      </c>
      <c r="E71" s="14">
        <f>IFERROR('Cash Flow Data'!G6,0)</f>
        <v>-1523</v>
      </c>
      <c r="F71" s="14">
        <f>IFERROR('Cash Flow Data'!H6,0)</f>
        <v>-2881</v>
      </c>
      <c r="G71" s="14">
        <f>IFERROR('Cash Flow Data'!I6,0)</f>
        <v>-3861</v>
      </c>
      <c r="H71" s="14">
        <f>IFERROR('Cash Flow Data'!J6,0)</f>
        <v>-1835</v>
      </c>
      <c r="I71" s="14">
        <f>IFERROR('Cash Flow Data'!K6,0)</f>
        <v>-7937</v>
      </c>
      <c r="J71" s="14">
        <f>IFERROR('Cash Flow Data'!L6,0)</f>
        <v>-7076</v>
      </c>
      <c r="K71" s="14">
        <f>IFERROR('Cash Flow Data'!M6,0)</f>
        <v>-2667</v>
      </c>
      <c r="L71" s="14">
        <f>IFERROR('Cash Flow Data'!N6,0)</f>
        <v>-1769</v>
      </c>
    </row>
    <row r="72" spans="1:12" x14ac:dyDescent="0.25">
      <c r="B72" t="s">
        <v>69</v>
      </c>
      <c r="C72" s="14">
        <f>IFERROR('Cash Flow Data'!E7,0)</f>
        <v>242</v>
      </c>
      <c r="D72" s="14">
        <f>IFERROR('Cash Flow Data'!F7,0)</f>
        <v>-19</v>
      </c>
      <c r="E72" s="14">
        <f>IFERROR('Cash Flow Data'!G7,0)</f>
        <v>328</v>
      </c>
      <c r="F72" s="14">
        <f>IFERROR('Cash Flow Data'!H7,0)</f>
        <v>916</v>
      </c>
      <c r="G72" s="14">
        <f>IFERROR('Cash Flow Data'!I7,0)</f>
        <v>-373</v>
      </c>
      <c r="H72" s="14">
        <f>IFERROR('Cash Flow Data'!J7,0)</f>
        <v>-245</v>
      </c>
      <c r="I72" s="14">
        <f>IFERROR('Cash Flow Data'!K7,0)</f>
        <v>1489</v>
      </c>
      <c r="J72" s="14">
        <f>IFERROR('Cash Flow Data'!L7,0)</f>
        <v>-279</v>
      </c>
      <c r="K72" s="14">
        <f>IFERROR('Cash Flow Data'!M7,0)</f>
        <v>91</v>
      </c>
      <c r="L72" s="14">
        <f>IFERROR('Cash Flow Data'!N7,0)</f>
        <v>176</v>
      </c>
    </row>
    <row r="73" spans="1:12" x14ac:dyDescent="0.25">
      <c r="B73" t="s">
        <v>70</v>
      </c>
      <c r="C73" s="14">
        <f>IFERROR('Cash Flow Data'!E8,0)</f>
        <v>-1134</v>
      </c>
      <c r="D73" s="14">
        <f>IFERROR('Cash Flow Data'!F8,0)</f>
        <v>0</v>
      </c>
      <c r="E73" s="14">
        <f>IFERROR('Cash Flow Data'!G8,0)</f>
        <v>0</v>
      </c>
      <c r="F73" s="14">
        <f>IFERROR('Cash Flow Data'!H8,0)</f>
        <v>0</v>
      </c>
      <c r="G73" s="14">
        <f>IFERROR('Cash Flow Data'!I8,0)</f>
        <v>0</v>
      </c>
      <c r="H73" s="14">
        <f>IFERROR('Cash Flow Data'!J8,0)</f>
        <v>-534</v>
      </c>
      <c r="I73" s="14">
        <f>IFERROR('Cash Flow Data'!K8,0)</f>
        <v>-1914</v>
      </c>
      <c r="J73" s="14">
        <f>IFERROR('Cash Flow Data'!L8,0)</f>
        <v>-3108</v>
      </c>
      <c r="K73" s="14">
        <f>IFERROR('Cash Flow Data'!M8,0)</f>
        <v>-1172</v>
      </c>
      <c r="L73" s="14">
        <f>IFERROR('Cash Flow Data'!N8,0)</f>
        <v>-1024</v>
      </c>
    </row>
    <row r="74" spans="1:12" x14ac:dyDescent="0.25">
      <c r="B74" t="s">
        <v>71</v>
      </c>
      <c r="C74" s="14">
        <f>IFERROR('Cash Flow Data'!E9,0)</f>
        <v>600</v>
      </c>
      <c r="D74" s="14">
        <f>IFERROR('Cash Flow Data'!F9,0)</f>
        <v>-394</v>
      </c>
      <c r="E74" s="14">
        <f>IFERROR('Cash Flow Data'!G9,0)</f>
        <v>1279</v>
      </c>
      <c r="F74" s="14">
        <f>IFERROR('Cash Flow Data'!H9,0)</f>
        <v>1512</v>
      </c>
      <c r="G74" s="14">
        <f>IFERROR('Cash Flow Data'!I9,0)</f>
        <v>1867</v>
      </c>
      <c r="H74" s="14">
        <f>IFERROR('Cash Flow Data'!J9,0)</f>
        <v>3382</v>
      </c>
      <c r="I74" s="14">
        <f>IFERROR('Cash Flow Data'!K9,0)</f>
        <v>6938</v>
      </c>
      <c r="J74" s="14">
        <f>IFERROR('Cash Flow Data'!L9,0)</f>
        <v>4119</v>
      </c>
      <c r="K74" s="14">
        <f>IFERROR('Cash Flow Data'!M9,0)</f>
        <v>-1334</v>
      </c>
      <c r="L74" s="14">
        <f>IFERROR('Cash Flow Data'!N9,0)</f>
        <v>2322</v>
      </c>
    </row>
    <row r="75" spans="1:12" x14ac:dyDescent="0.25">
      <c r="B75" t="s">
        <v>72</v>
      </c>
      <c r="C75" s="14">
        <f>IFERROR('Cash Flow Data'!E10,0)</f>
        <v>-1946</v>
      </c>
      <c r="D75" s="14">
        <f>IFERROR('Cash Flow Data'!F10,0)</f>
        <v>-2156</v>
      </c>
      <c r="E75" s="14">
        <f>IFERROR('Cash Flow Data'!G10,0)</f>
        <v>84</v>
      </c>
      <c r="F75" s="14">
        <f>IFERROR('Cash Flow Data'!H10,0)</f>
        <v>-453</v>
      </c>
      <c r="G75" s="14">
        <f>IFERROR('Cash Flow Data'!I10,0)</f>
        <v>-2367</v>
      </c>
      <c r="H75" s="14">
        <f>IFERROR('Cash Flow Data'!J10,0)</f>
        <v>768</v>
      </c>
      <c r="I75" s="14">
        <f>IFERROR('Cash Flow Data'!K10,0)</f>
        <v>-1424</v>
      </c>
      <c r="J75" s="14">
        <f>IFERROR('Cash Flow Data'!L10,0)</f>
        <v>-6344</v>
      </c>
      <c r="K75" s="14">
        <f>IFERROR('Cash Flow Data'!M10,0)</f>
        <v>-5082</v>
      </c>
      <c r="L75" s="14">
        <f>IFERROR('Cash Flow Data'!N10,0)</f>
        <v>-295</v>
      </c>
    </row>
    <row r="76" spans="1:12" x14ac:dyDescent="0.25">
      <c r="B76" t="s">
        <v>73</v>
      </c>
      <c r="C76" s="14">
        <f>IFERROR('Cash Flow Data'!E11,0)</f>
        <v>-5865</v>
      </c>
      <c r="D76" s="14">
        <f>IFERROR('Cash Flow Data'!F11,0)</f>
        <v>-5653</v>
      </c>
      <c r="E76" s="14">
        <f>IFERROR('Cash Flow Data'!G11,0)</f>
        <v>-6829</v>
      </c>
      <c r="F76" s="14">
        <f>IFERROR('Cash Flow Data'!H11,0)</f>
        <v>-6832</v>
      </c>
      <c r="G76" s="14">
        <f>IFERROR('Cash Flow Data'!I11,0)</f>
        <v>-4550</v>
      </c>
      <c r="H76" s="14">
        <f>IFERROR('Cash Flow Data'!J11,0)</f>
        <v>-6389</v>
      </c>
      <c r="I76" s="14">
        <f>IFERROR('Cash Flow Data'!K11,0)</f>
        <v>-7612</v>
      </c>
      <c r="J76" s="14">
        <f>IFERROR('Cash Flow Data'!L11,0)</f>
        <v>-8794</v>
      </c>
      <c r="K76" s="14">
        <f>IFERROR('Cash Flow Data'!M11,0)</f>
        <v>-9231</v>
      </c>
      <c r="L76" s="14">
        <f>IFERROR('Cash Flow Data'!N11,0)</f>
        <v>-5602</v>
      </c>
    </row>
    <row r="77" spans="1:12" x14ac:dyDescent="0.25">
      <c r="B77" s="21" t="s">
        <v>110</v>
      </c>
      <c r="C77" s="22">
        <f>IFERROR(SUM(C70:C76),0)</f>
        <v>8082</v>
      </c>
      <c r="D77" s="22">
        <f t="shared" ref="D77:K77" si="22">IFERROR(SUM(D70:D76),0)</f>
        <v>9375</v>
      </c>
      <c r="E77" s="22">
        <f t="shared" si="22"/>
        <v>13302</v>
      </c>
      <c r="F77" s="22">
        <f t="shared" si="22"/>
        <v>14388</v>
      </c>
      <c r="G77" s="22">
        <f t="shared" si="22"/>
        <v>14636</v>
      </c>
      <c r="H77" s="22">
        <f t="shared" si="22"/>
        <v>23992</v>
      </c>
      <c r="I77" s="22">
        <f t="shared" si="22"/>
        <v>22461</v>
      </c>
      <c r="J77" s="22">
        <f t="shared" si="22"/>
        <v>16123</v>
      </c>
      <c r="K77" s="22">
        <f t="shared" si="22"/>
        <v>20128</v>
      </c>
      <c r="L77" s="22">
        <f>IFERROR(SUM(L70:L76),0)</f>
        <v>35399</v>
      </c>
    </row>
    <row r="79" spans="1:12" x14ac:dyDescent="0.25">
      <c r="B79" s="2" t="s">
        <v>112</v>
      </c>
    </row>
    <row r="80" spans="1:12" x14ac:dyDescent="0.25">
      <c r="B80" t="s">
        <v>75</v>
      </c>
      <c r="C80" s="14">
        <f>IFERROR('Cash Flow Data'!E13,0)</f>
        <v>-2723</v>
      </c>
      <c r="D80" s="14">
        <f>IFERROR('Cash Flow Data'!F13,0)</f>
        <v>-2760</v>
      </c>
      <c r="E80" s="14">
        <f>IFERROR('Cash Flow Data'!G13,0)</f>
        <v>-1998</v>
      </c>
      <c r="F80" s="14">
        <f>IFERROR('Cash Flow Data'!H13,0)</f>
        <v>-2445</v>
      </c>
      <c r="G80" s="14">
        <f>IFERROR('Cash Flow Data'!I13,0)</f>
        <v>-3307</v>
      </c>
      <c r="H80" s="14">
        <f>IFERROR('Cash Flow Data'!J13,0)</f>
        <v>-2107</v>
      </c>
      <c r="I80" s="14">
        <f>IFERROR('Cash Flow Data'!K13,0)</f>
        <v>-2161</v>
      </c>
      <c r="J80" s="14">
        <f>IFERROR('Cash Flow Data'!L13,0)</f>
        <v>-2579</v>
      </c>
      <c r="K80" s="14">
        <f>IFERROR('Cash Flow Data'!M13,0)</f>
        <v>-2201</v>
      </c>
      <c r="L80" s="14">
        <f>IFERROR('Cash Flow Data'!N13,0)</f>
        <v>-2237</v>
      </c>
    </row>
    <row r="81" spans="2:12" x14ac:dyDescent="0.25">
      <c r="B81" t="s">
        <v>76</v>
      </c>
      <c r="C81" s="14">
        <f>IFERROR('Cash Flow Data'!E14,0)</f>
        <v>0</v>
      </c>
      <c r="D81" s="14">
        <f>IFERROR('Cash Flow Data'!F14,0)</f>
        <v>0</v>
      </c>
      <c r="E81" s="14">
        <f>IFERROR('Cash Flow Data'!G14,0)</f>
        <v>0</v>
      </c>
      <c r="F81" s="14">
        <f>IFERROR('Cash Flow Data'!H14,0)</f>
        <v>0</v>
      </c>
      <c r="G81" s="14">
        <f>IFERROR('Cash Flow Data'!I14,0)</f>
        <v>0</v>
      </c>
      <c r="H81" s="14">
        <f>IFERROR('Cash Flow Data'!J14,0)</f>
        <v>0</v>
      </c>
      <c r="I81" s="14">
        <f>IFERROR('Cash Flow Data'!K14,0)</f>
        <v>0</v>
      </c>
      <c r="J81" s="14">
        <f>IFERROR('Cash Flow Data'!L14,0)</f>
        <v>0</v>
      </c>
      <c r="K81" s="14">
        <f>IFERROR('Cash Flow Data'!M14,0)</f>
        <v>0</v>
      </c>
      <c r="L81" s="14">
        <f>IFERROR('Cash Flow Data'!N14,0)</f>
        <v>0</v>
      </c>
    </row>
    <row r="82" spans="2:12" x14ac:dyDescent="0.25">
      <c r="B82" t="s">
        <v>77</v>
      </c>
      <c r="C82" s="14">
        <f>IFERROR('Cash Flow Data'!E15,0)</f>
        <v>-24577</v>
      </c>
      <c r="D82" s="14">
        <f>IFERROR('Cash Flow Data'!F15,0)</f>
        <v>-66410</v>
      </c>
      <c r="E82" s="14">
        <f>IFERROR('Cash Flow Data'!G15,0)</f>
        <v>-69159</v>
      </c>
      <c r="F82" s="14">
        <f>IFERROR('Cash Flow Data'!H15,0)</f>
        <v>-79410</v>
      </c>
      <c r="G82" s="14">
        <f>IFERROR('Cash Flow Data'!I15,0)</f>
        <v>-37482</v>
      </c>
      <c r="H82" s="14">
        <f>IFERROR('Cash Flow Data'!J15,0)</f>
        <v>-46738</v>
      </c>
      <c r="I82" s="14">
        <f>IFERROR('Cash Flow Data'!K15,0)</f>
        <v>-59951</v>
      </c>
      <c r="J82" s="14">
        <f>IFERROR('Cash Flow Data'!L15,0)</f>
        <v>-75800</v>
      </c>
      <c r="K82" s="14">
        <f>IFERROR('Cash Flow Data'!M15,0)</f>
        <v>-78118</v>
      </c>
      <c r="L82" s="14">
        <f>IFERROR('Cash Flow Data'!N15,0)</f>
        <v>-82753</v>
      </c>
    </row>
    <row r="83" spans="2:12" x14ac:dyDescent="0.25">
      <c r="B83" t="s">
        <v>78</v>
      </c>
      <c r="C83" s="14">
        <f>IFERROR('Cash Flow Data'!E16,0)</f>
        <v>24980</v>
      </c>
      <c r="D83" s="14">
        <f>IFERROR('Cash Flow Data'!F16,0)</f>
        <v>52048</v>
      </c>
      <c r="E83" s="14">
        <f>IFERROR('Cash Flow Data'!G16,0)</f>
        <v>74003</v>
      </c>
      <c r="F83" s="14">
        <f>IFERROR('Cash Flow Data'!H16,0)</f>
        <v>78098</v>
      </c>
      <c r="G83" s="14">
        <f>IFERROR('Cash Flow Data'!I16,0)</f>
        <v>38861</v>
      </c>
      <c r="H83" s="14">
        <f>IFERROR('Cash Flow Data'!J16,0)</f>
        <v>40381</v>
      </c>
      <c r="I83" s="14">
        <f>IFERROR('Cash Flow Data'!K16,0)</f>
        <v>57356</v>
      </c>
      <c r="J83" s="14">
        <f>IFERROR('Cash Flow Data'!L16,0)</f>
        <v>76722</v>
      </c>
      <c r="K83" s="14">
        <f>IFERROR('Cash Flow Data'!M16,0)</f>
        <v>72956</v>
      </c>
      <c r="L83" s="14">
        <f>IFERROR('Cash Flow Data'!N16,0)</f>
        <v>84888</v>
      </c>
    </row>
    <row r="84" spans="2:12" x14ac:dyDescent="0.25">
      <c r="B84" t="s">
        <v>79</v>
      </c>
      <c r="C84" s="14">
        <f>IFERROR('Cash Flow Data'!E17,0)</f>
        <v>2383</v>
      </c>
      <c r="D84" s="14">
        <f>IFERROR('Cash Flow Data'!F17,0)</f>
        <v>0</v>
      </c>
      <c r="E84" s="14">
        <f>IFERROR('Cash Flow Data'!G17,0)</f>
        <v>0</v>
      </c>
      <c r="F84" s="14">
        <f>IFERROR('Cash Flow Data'!H17,0)</f>
        <v>0</v>
      </c>
      <c r="G84" s="14">
        <f>IFERROR('Cash Flow Data'!I17,0)</f>
        <v>0</v>
      </c>
      <c r="H84" s="14">
        <f>IFERROR('Cash Flow Data'!J17,0)</f>
        <v>0</v>
      </c>
      <c r="I84" s="14">
        <f>IFERROR('Cash Flow Data'!K17,0)</f>
        <v>0</v>
      </c>
      <c r="J84" s="14">
        <f>IFERROR('Cash Flow Data'!L17,0)</f>
        <v>0</v>
      </c>
      <c r="K84" s="14">
        <f>IFERROR('Cash Flow Data'!M17,0)</f>
        <v>0</v>
      </c>
      <c r="L84" s="14">
        <f>IFERROR('Cash Flow Data'!N17,0)</f>
        <v>0</v>
      </c>
    </row>
    <row r="85" spans="2:12" x14ac:dyDescent="0.25">
      <c r="B85" t="s">
        <v>80</v>
      </c>
      <c r="C85" s="14">
        <f>IFERROR('Cash Flow Data'!E18,0)</f>
        <v>0</v>
      </c>
      <c r="D85" s="14">
        <f>IFERROR('Cash Flow Data'!F18,0)</f>
        <v>2753</v>
      </c>
      <c r="E85" s="14">
        <f>IFERROR('Cash Flow Data'!G18,0)</f>
        <v>1768</v>
      </c>
      <c r="F85" s="14">
        <f>IFERROR('Cash Flow Data'!H18,0)</f>
        <v>1557</v>
      </c>
      <c r="G85" s="14">
        <f>IFERROR('Cash Flow Data'!I18,0)</f>
        <v>1929</v>
      </c>
      <c r="H85" s="14">
        <f>IFERROR('Cash Flow Data'!J18,0)</f>
        <v>1418</v>
      </c>
      <c r="I85" s="14">
        <f>IFERROR('Cash Flow Data'!K18,0)</f>
        <v>1898</v>
      </c>
      <c r="J85" s="14">
        <f>IFERROR('Cash Flow Data'!L18,0)</f>
        <v>1525</v>
      </c>
      <c r="K85" s="14">
        <f>IFERROR('Cash Flow Data'!M18,0)</f>
        <v>1768</v>
      </c>
      <c r="L85" s="14">
        <f>IFERROR('Cash Flow Data'!N18,0)</f>
        <v>2040</v>
      </c>
    </row>
    <row r="86" spans="2:12" x14ac:dyDescent="0.25">
      <c r="B86" t="s">
        <v>81</v>
      </c>
      <c r="C86" s="14">
        <f>IFERROR('Cash Flow Data'!E19,0)</f>
        <v>-747</v>
      </c>
      <c r="D86" s="14">
        <f>IFERROR('Cash Flow Data'!F19,0)</f>
        <v>0</v>
      </c>
      <c r="E86" s="14">
        <f>IFERROR('Cash Flow Data'!G19,0)</f>
        <v>0</v>
      </c>
      <c r="F86" s="14">
        <f>IFERROR('Cash Flow Data'!H19,0)</f>
        <v>0</v>
      </c>
      <c r="G86" s="14">
        <f>IFERROR('Cash Flow Data'!I19,0)</f>
        <v>0</v>
      </c>
      <c r="H86" s="14">
        <f>IFERROR('Cash Flow Data'!J19,0)</f>
        <v>0</v>
      </c>
      <c r="I86" s="14">
        <f>IFERROR('Cash Flow Data'!K19,0)</f>
        <v>0</v>
      </c>
      <c r="J86" s="14">
        <f>IFERROR('Cash Flow Data'!L19,0)</f>
        <v>0</v>
      </c>
      <c r="K86" s="14">
        <f>IFERROR('Cash Flow Data'!M19,0)</f>
        <v>0</v>
      </c>
      <c r="L86" s="14">
        <f>IFERROR('Cash Flow Data'!N19,0)</f>
        <v>0</v>
      </c>
    </row>
    <row r="87" spans="2:12" x14ac:dyDescent="0.25">
      <c r="B87" t="s">
        <v>82</v>
      </c>
      <c r="C87" s="14">
        <f>IFERROR('Cash Flow Data'!E20,0)</f>
        <v>-142</v>
      </c>
      <c r="D87" s="14">
        <f>IFERROR('Cash Flow Data'!F20,0)</f>
        <v>-164</v>
      </c>
      <c r="E87" s="14">
        <f>IFERROR('Cash Flow Data'!G20,0)</f>
        <v>-130</v>
      </c>
      <c r="F87" s="14">
        <f>IFERROR('Cash Flow Data'!H20,0)</f>
        <v>-24</v>
      </c>
      <c r="G87" s="14">
        <f>IFERROR('Cash Flow Data'!I20,0)</f>
        <v>-108</v>
      </c>
      <c r="H87" s="14">
        <f>IFERROR('Cash Flow Data'!J20,0)</f>
        <v>0</v>
      </c>
      <c r="I87" s="14">
        <f>IFERROR('Cash Flow Data'!K20,0)</f>
        <v>0</v>
      </c>
      <c r="J87" s="14">
        <f>IFERROR('Cash Flow Data'!L20,0)</f>
        <v>0</v>
      </c>
      <c r="K87" s="14">
        <f>IFERROR('Cash Flow Data'!M20,0)</f>
        <v>0</v>
      </c>
      <c r="L87" s="14">
        <f>IFERROR('Cash Flow Data'!N20,0)</f>
        <v>0</v>
      </c>
    </row>
    <row r="88" spans="2:12" x14ac:dyDescent="0.25">
      <c r="B88" t="s">
        <v>83</v>
      </c>
      <c r="C88" s="14">
        <f>IFERROR('Cash Flow Data'!E21,0)</f>
        <v>-59</v>
      </c>
      <c r="D88" s="14">
        <f>IFERROR('Cash Flow Data'!F21,0)</f>
        <v>-131</v>
      </c>
      <c r="E88" s="14">
        <f>IFERROR('Cash Flow Data'!G21,0)</f>
        <v>49</v>
      </c>
      <c r="F88" s="14">
        <f>IFERROR('Cash Flow Data'!H21,0)</f>
        <v>1592</v>
      </c>
      <c r="G88" s="14">
        <f>IFERROR('Cash Flow Data'!I21,0)</f>
        <v>-224</v>
      </c>
      <c r="H88" s="14">
        <f>IFERROR('Cash Flow Data'!J21,0)</f>
        <v>-327</v>
      </c>
      <c r="I88" s="14">
        <f>IFERROR('Cash Flow Data'!K21,0)</f>
        <v>-3627</v>
      </c>
      <c r="J88" s="14">
        <f>IFERROR('Cash Flow Data'!L21,0)</f>
        <v>-939</v>
      </c>
      <c r="K88" s="14">
        <f>IFERROR('Cash Flow Data'!M21,0)</f>
        <v>502</v>
      </c>
      <c r="L88" s="14">
        <f>IFERROR('Cash Flow Data'!N21,0)</f>
        <v>-3802</v>
      </c>
    </row>
    <row r="89" spans="2:12" x14ac:dyDescent="0.25">
      <c r="B89" s="21" t="s">
        <v>113</v>
      </c>
      <c r="C89" s="22">
        <f>IFERROR(SUM(C80:C88),0)</f>
        <v>-885</v>
      </c>
      <c r="D89" s="22">
        <f t="shared" ref="D89:L89" si="23">IFERROR(SUM(D80:D88),0)</f>
        <v>-14664</v>
      </c>
      <c r="E89" s="22">
        <f t="shared" si="23"/>
        <v>4533</v>
      </c>
      <c r="F89" s="22">
        <f t="shared" si="23"/>
        <v>-632</v>
      </c>
      <c r="G89" s="22">
        <f t="shared" si="23"/>
        <v>-331</v>
      </c>
      <c r="H89" s="22">
        <f t="shared" si="23"/>
        <v>-7373</v>
      </c>
      <c r="I89" s="22">
        <f t="shared" si="23"/>
        <v>-6485</v>
      </c>
      <c r="J89" s="22">
        <f t="shared" si="23"/>
        <v>-1071</v>
      </c>
      <c r="K89" s="22">
        <f t="shared" si="23"/>
        <v>-5093</v>
      </c>
      <c r="L89" s="22">
        <f t="shared" si="23"/>
        <v>-1864</v>
      </c>
    </row>
    <row r="91" spans="2:12" x14ac:dyDescent="0.25">
      <c r="B91" s="2" t="s">
        <v>114</v>
      </c>
    </row>
    <row r="92" spans="2:12" x14ac:dyDescent="0.25">
      <c r="B92" t="s">
        <v>85</v>
      </c>
      <c r="C92" s="14">
        <f>IFERROR('Cash Flow Data'!E23,0)</f>
        <v>0</v>
      </c>
      <c r="D92" s="14">
        <f>IFERROR('Cash Flow Data'!F23,0)</f>
        <v>0</v>
      </c>
      <c r="E92" s="14">
        <f>IFERROR('Cash Flow Data'!G23,0)</f>
        <v>5</v>
      </c>
      <c r="F92" s="14">
        <f>IFERROR('Cash Flow Data'!H23,0)</f>
        <v>6</v>
      </c>
      <c r="G92" s="14">
        <f>IFERROR('Cash Flow Data'!I23,0)</f>
        <v>6</v>
      </c>
      <c r="H92" s="14">
        <f>IFERROR('Cash Flow Data'!J23,0)</f>
        <v>15</v>
      </c>
      <c r="I92" s="14">
        <f>IFERROR('Cash Flow Data'!K23,0)</f>
        <v>21</v>
      </c>
      <c r="J92" s="14">
        <f>IFERROR('Cash Flow Data'!L23,0)</f>
        <v>35</v>
      </c>
      <c r="K92" s="14">
        <f>IFERROR('Cash Flow Data'!M23,0)</f>
        <v>5</v>
      </c>
      <c r="L92" s="14">
        <f>IFERROR('Cash Flow Data'!N23,0)</f>
        <v>6</v>
      </c>
    </row>
    <row r="93" spans="2:12" x14ac:dyDescent="0.25">
      <c r="B93" t="s">
        <v>86</v>
      </c>
      <c r="C93" s="14">
        <f>IFERROR('Cash Flow Data'!E24,0)</f>
        <v>0</v>
      </c>
      <c r="D93" s="14">
        <f>IFERROR('Cash Flow Data'!F24,0)</f>
        <v>0</v>
      </c>
      <c r="E93" s="14">
        <f>IFERROR('Cash Flow Data'!G24,0)</f>
        <v>0</v>
      </c>
      <c r="F93" s="14">
        <f>IFERROR('Cash Flow Data'!H24,0)</f>
        <v>0</v>
      </c>
      <c r="G93" s="14">
        <f>IFERROR('Cash Flow Data'!I24,0)</f>
        <v>0</v>
      </c>
      <c r="H93" s="14">
        <f>IFERROR('Cash Flow Data'!J24,0)</f>
        <v>0</v>
      </c>
      <c r="I93" s="14">
        <f>IFERROR('Cash Flow Data'!K24,0)</f>
        <v>0</v>
      </c>
      <c r="J93" s="14">
        <f>IFERROR('Cash Flow Data'!L24,0)</f>
        <v>0</v>
      </c>
      <c r="K93" s="14">
        <f>IFERROR('Cash Flow Data'!M24,0)</f>
        <v>0</v>
      </c>
      <c r="L93" s="14">
        <f>IFERROR('Cash Flow Data'!N24,0)</f>
        <v>-985</v>
      </c>
    </row>
    <row r="94" spans="2:12" x14ac:dyDescent="0.25">
      <c r="B94" t="s">
        <v>87</v>
      </c>
      <c r="C94" s="14">
        <f>IFERROR('Cash Flow Data'!E25,0)</f>
        <v>-6813</v>
      </c>
      <c r="D94" s="14">
        <f>IFERROR('Cash Flow Data'!F25,0)</f>
        <v>-6939</v>
      </c>
      <c r="E94" s="14">
        <f>IFERROR('Cash Flow Data'!G25,0)</f>
        <v>-7464</v>
      </c>
      <c r="F94" s="14">
        <f>IFERROR('Cash Flow Data'!H25,0)</f>
        <v>-13705</v>
      </c>
      <c r="G94" s="14">
        <f>IFERROR('Cash Flow Data'!I25,0)</f>
        <v>-9548</v>
      </c>
      <c r="H94" s="14">
        <f>IFERROR('Cash Flow Data'!J25,0)</f>
        <v>-9137</v>
      </c>
      <c r="I94" s="14">
        <f>IFERROR('Cash Flow Data'!K25,0)</f>
        <v>-12731</v>
      </c>
      <c r="J94" s="14">
        <f>IFERROR('Cash Flow Data'!L25,0)</f>
        <v>-13653</v>
      </c>
      <c r="K94" s="14">
        <f>IFERROR('Cash Flow Data'!M25,0)</f>
        <v>-14731</v>
      </c>
      <c r="L94" s="14">
        <f>IFERROR('Cash Flow Data'!N25,0)</f>
        <v>-20289</v>
      </c>
    </row>
    <row r="95" spans="2:12" x14ac:dyDescent="0.25">
      <c r="B95" t="s">
        <v>88</v>
      </c>
      <c r="C95" s="14">
        <f>IFERROR('Cash Flow Data'!E26,0)</f>
        <v>0</v>
      </c>
      <c r="D95" s="14">
        <f>IFERROR('Cash Flow Data'!F26,0)</f>
        <v>0</v>
      </c>
      <c r="E95" s="14">
        <f>IFERROR('Cash Flow Data'!G26,0)</f>
        <v>0</v>
      </c>
      <c r="F95" s="14">
        <f>IFERROR('Cash Flow Data'!H26,0)</f>
        <v>0</v>
      </c>
      <c r="G95" s="14">
        <f>IFERROR('Cash Flow Data'!I26,0)</f>
        <v>-571</v>
      </c>
      <c r="H95" s="14">
        <f>IFERROR('Cash Flow Data'!J26,0)</f>
        <v>-698</v>
      </c>
      <c r="I95" s="14">
        <f>IFERROR('Cash Flow Data'!K26,0)</f>
        <v>-915</v>
      </c>
      <c r="J95" s="14">
        <f>IFERROR('Cash Flow Data'!L26,0)</f>
        <v>-1231</v>
      </c>
      <c r="K95" s="14">
        <f>IFERROR('Cash Flow Data'!M26,0)</f>
        <v>-2024</v>
      </c>
      <c r="L95" s="14">
        <f>IFERROR('Cash Flow Data'!N26,0)</f>
        <v>-2355</v>
      </c>
    </row>
    <row r="96" spans="2:12" x14ac:dyDescent="0.25">
      <c r="B96" t="s">
        <v>89</v>
      </c>
      <c r="C96" s="14">
        <f>IFERROR('Cash Flow Data'!E27,0)</f>
        <v>0</v>
      </c>
      <c r="D96" s="14">
        <f>IFERROR('Cash Flow Data'!F27,0)</f>
        <v>0</v>
      </c>
      <c r="E96" s="14">
        <f>IFERROR('Cash Flow Data'!G27,0)</f>
        <v>-13046</v>
      </c>
      <c r="F96" s="14">
        <f>IFERROR('Cash Flow Data'!H27,0)</f>
        <v>-813</v>
      </c>
      <c r="G96" s="14">
        <f>IFERROR('Cash Flow Data'!I27,0)</f>
        <v>-7478</v>
      </c>
      <c r="H96" s="14">
        <f>IFERROR('Cash Flow Data'!J27,0)</f>
        <v>34</v>
      </c>
      <c r="I96" s="14">
        <f>IFERROR('Cash Flow Data'!K27,0)</f>
        <v>-11017</v>
      </c>
      <c r="J96" s="14">
        <f>IFERROR('Cash Flow Data'!L27,0)</f>
        <v>-11846</v>
      </c>
      <c r="K96" s="14">
        <f>IFERROR('Cash Flow Data'!M27,0)</f>
        <v>-754</v>
      </c>
      <c r="L96" s="14">
        <f>IFERROR('Cash Flow Data'!N27,0)</f>
        <v>-538</v>
      </c>
    </row>
    <row r="97" spans="2:12" x14ac:dyDescent="0.25">
      <c r="B97" s="21" t="s">
        <v>115</v>
      </c>
      <c r="C97" s="22">
        <f>IFERROR(SUM(C92:C96),0)</f>
        <v>-6813</v>
      </c>
      <c r="D97" s="22">
        <f t="shared" ref="D97:L97" si="24">IFERROR(SUM(D92:D96),0)</f>
        <v>-6939</v>
      </c>
      <c r="E97" s="22">
        <f t="shared" si="24"/>
        <v>-20505</v>
      </c>
      <c r="F97" s="22">
        <f t="shared" si="24"/>
        <v>-14512</v>
      </c>
      <c r="G97" s="22">
        <f t="shared" si="24"/>
        <v>-17591</v>
      </c>
      <c r="H97" s="22">
        <f t="shared" si="24"/>
        <v>-9786</v>
      </c>
      <c r="I97" s="22">
        <f t="shared" si="24"/>
        <v>-24642</v>
      </c>
      <c r="J97" s="22">
        <f t="shared" si="24"/>
        <v>-26695</v>
      </c>
      <c r="K97" s="22">
        <f t="shared" si="24"/>
        <v>-17504</v>
      </c>
      <c r="L97" s="22">
        <f t="shared" si="24"/>
        <v>-24161</v>
      </c>
    </row>
    <row r="99" spans="2:12" x14ac:dyDescent="0.25">
      <c r="B99" s="21" t="s">
        <v>21</v>
      </c>
      <c r="C99" s="22">
        <f>IFERROR(SUM(C97,C89,C77),0)</f>
        <v>384</v>
      </c>
      <c r="D99" s="22">
        <f t="shared" ref="D99:K99" si="25">IFERROR(SUM(D97,D89,D77),0)</f>
        <v>-12228</v>
      </c>
      <c r="E99" s="22">
        <f t="shared" si="25"/>
        <v>-2670</v>
      </c>
      <c r="F99" s="22">
        <f t="shared" si="25"/>
        <v>-756</v>
      </c>
      <c r="G99" s="22">
        <f t="shared" si="25"/>
        <v>-3286</v>
      </c>
      <c r="H99" s="22">
        <f t="shared" si="25"/>
        <v>6833</v>
      </c>
      <c r="I99" s="22">
        <f t="shared" si="25"/>
        <v>-8666</v>
      </c>
      <c r="J99" s="22">
        <f t="shared" si="25"/>
        <v>-11643</v>
      </c>
      <c r="K99" s="22">
        <f t="shared" si="25"/>
        <v>-2469</v>
      </c>
      <c r="L99" s="22">
        <f>IFERROR(SUM(L97,L89,L77),0)</f>
        <v>9374</v>
      </c>
    </row>
  </sheetData>
  <mergeCells count="1">
    <mergeCell ref="B2:L2"/>
  </mergeCells>
  <pageMargins left="0.7" right="0.7" top="0.75" bottom="0.75" header="0.3" footer="0.3"/>
  <ignoredErrors>
    <ignoredError sqref="C9:D9 E9:L9 C15:L1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E0AC-3FFC-4D17-A297-547FAC8F19E8}">
  <dimension ref="B2:O41"/>
  <sheetViews>
    <sheetView showGridLines="0" topLeftCell="A2" workbookViewId="0">
      <pane ySplit="2" topLeftCell="A21" activePane="bottomLeft" state="frozen"/>
      <selection activeCell="A2" sqref="A2"/>
      <selection pane="bottomLeft" activeCell="B10" sqref="B10"/>
    </sheetView>
  </sheetViews>
  <sheetFormatPr defaultRowHeight="15" x14ac:dyDescent="0.25"/>
  <cols>
    <col min="1" max="1" width="1.85546875" customWidth="1"/>
    <col min="2" max="2" width="37.140625" customWidth="1"/>
    <col min="13" max="13" width="13.140625" customWidth="1"/>
    <col min="14" max="15" width="9.85546875" bestFit="1" customWidth="1"/>
  </cols>
  <sheetData>
    <row r="2" spans="2:15" x14ac:dyDescent="0.25">
      <c r="B2" s="159" t="str">
        <f>"Ratio Analysis - "&amp;'Data Sheet'!B1</f>
        <v>Ratio Analysis - INFOSYS LTD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</row>
    <row r="3" spans="2:15" x14ac:dyDescent="0.25">
      <c r="B3" s="100" t="s">
        <v>55</v>
      </c>
      <c r="C3" s="101">
        <f>'Data Sheet'!B16</f>
        <v>42460</v>
      </c>
      <c r="D3" s="101">
        <f>'Data Sheet'!C16</f>
        <v>42825</v>
      </c>
      <c r="E3" s="101">
        <f>'Data Sheet'!D16</f>
        <v>43190</v>
      </c>
      <c r="F3" s="101">
        <f>'Data Sheet'!E16</f>
        <v>43555</v>
      </c>
      <c r="G3" s="101">
        <f>'Data Sheet'!F16</f>
        <v>43921</v>
      </c>
      <c r="H3" s="101">
        <f>'Data Sheet'!G16</f>
        <v>44286</v>
      </c>
      <c r="I3" s="101">
        <f>'Data Sheet'!H16</f>
        <v>44651</v>
      </c>
      <c r="J3" s="101">
        <f>'Data Sheet'!I16</f>
        <v>45016</v>
      </c>
      <c r="K3" s="101">
        <f>'Data Sheet'!J16</f>
        <v>45382</v>
      </c>
      <c r="L3" s="101">
        <f>'Data Sheet'!K16</f>
        <v>45747</v>
      </c>
      <c r="M3" s="137" t="s">
        <v>147</v>
      </c>
      <c r="N3" s="101" t="s">
        <v>145</v>
      </c>
      <c r="O3" s="101" t="s">
        <v>146</v>
      </c>
    </row>
    <row r="5" spans="2:15" x14ac:dyDescent="0.25">
      <c r="B5" s="28" t="s">
        <v>10</v>
      </c>
      <c r="C5" s="29" t="str">
        <f>IFERROR(HistoricalFS!C7,0)</f>
        <v>-</v>
      </c>
      <c r="D5" s="29">
        <f>IFERROR(HistoricalFS!D7,0)</f>
        <v>9.67793597155715E-2</v>
      </c>
      <c r="E5" s="29">
        <f>IFERROR(HistoricalFS!E7,0)</f>
        <v>2.9758775772443125E-2</v>
      </c>
      <c r="F5" s="29">
        <f>IFERROR(HistoricalFS!F7,0)</f>
        <v>0.17232920223476356</v>
      </c>
      <c r="G5" s="29">
        <f>IFERROR(HistoricalFS!G7,0)</f>
        <v>9.8167523435137571E-2</v>
      </c>
      <c r="H5" s="29">
        <f>IFERROR(HistoricalFS!H7,0)</f>
        <v>0.10662951173574475</v>
      </c>
      <c r="I5" s="29">
        <f>IFERROR(HistoricalFS!I7,0)</f>
        <v>0.21069551715900947</v>
      </c>
      <c r="J5" s="29">
        <f>IFERROR(HistoricalFS!J7,0)</f>
        <v>0.20655864387829759</v>
      </c>
      <c r="K5" s="29">
        <f>IFERROR(HistoricalFS!K7,0)</f>
        <v>4.7033733741236095E-2</v>
      </c>
      <c r="L5" s="29">
        <f>IFERROR(HistoricalFS!L7,0)</f>
        <v>6.0649443612936782E-2</v>
      </c>
      <c r="M5" s="28"/>
      <c r="N5" s="29">
        <f>IFERROR(AVERAGE(D5:L5),0)</f>
        <v>0.11428907903168227</v>
      </c>
      <c r="O5" s="29">
        <f>IFERROR(MEDIAN(C5:L5),0)</f>
        <v>9.8167523435137571E-2</v>
      </c>
    </row>
    <row r="6" spans="2:15" x14ac:dyDescent="0.25">
      <c r="B6" t="s">
        <v>116</v>
      </c>
      <c r="D6" s="30">
        <f>IFERROR(HistoricalFS!D18/HistoricalFS!C18-1,0)</f>
        <v>8.9290942092628445E-2</v>
      </c>
      <c r="E6" s="30">
        <f>IFERROR(HistoricalFS!E18/HistoricalFS!D18-1,0)</f>
        <v>1.1717910126854525E-2</v>
      </c>
      <c r="F6" s="30">
        <f>IFERROR(HistoricalFS!F18/HistoricalFS!E18-1,0)</f>
        <v>7.1618318988417862E-2</v>
      </c>
      <c r="G6" s="30">
        <f>IFERROR(HistoricalFS!G18/HistoricalFS!F18-1,0)</f>
        <v>0.10396628656420437</v>
      </c>
      <c r="H6" s="30">
        <f>IFERROR(HistoricalFS!H18/HistoricalFS!G18-1,0)</f>
        <v>0.25248125028068436</v>
      </c>
      <c r="I6" s="30">
        <f>IFERROR(HistoricalFS!I18/HistoricalFS!H18-1,0)</f>
        <v>0.12915486392484499</v>
      </c>
      <c r="J6" s="30">
        <f>IFERROR(HistoricalFS!J18/HistoricalFS!I18-1,0)</f>
        <v>0.1155568257597408</v>
      </c>
      <c r="K6" s="30">
        <f>IFERROR(HistoricalFS!K18/HistoricalFS!J18-1,0)</f>
        <v>3.6863079988613823E-2</v>
      </c>
      <c r="L6" s="30">
        <f>IFERROR(HistoricalFS!L18/HistoricalFS!K18-1,0)</f>
        <v>7.7172271791352109E-2</v>
      </c>
      <c r="N6" s="30">
        <f t="shared" ref="N6:N9" si="0">IFERROR(AVERAGE(D6:L6),0)</f>
        <v>9.8646861057482368E-2</v>
      </c>
      <c r="O6" s="30">
        <f t="shared" ref="O6:O9" si="1">IFERROR(MEDIAN(C6:L6),0)</f>
        <v>8.9290942092628445E-2</v>
      </c>
    </row>
    <row r="7" spans="2:15" x14ac:dyDescent="0.25">
      <c r="B7" t="s">
        <v>117</v>
      </c>
      <c r="D7" s="30">
        <f>IFERROR(HistoricalFS!D27/HistoricalFS!C27-1,0)</f>
        <v>8.2010243277848893E-2</v>
      </c>
      <c r="E7" s="30">
        <f>IFERROR(HistoricalFS!E27/HistoricalFS!D27-1,0)</f>
        <v>3.4317496006153192E-3</v>
      </c>
      <c r="F7" s="30">
        <f>IFERROR(HistoricalFS!F27/HistoricalFS!E27-1,0)</f>
        <v>7.0758889085441368E-2</v>
      </c>
      <c r="G7" s="30">
        <f>IFERROR(HistoricalFS!G27/HistoricalFS!F27-1,0)</f>
        <v>5.7547221763313061E-2</v>
      </c>
      <c r="H7" s="30">
        <f>IFERROR(HistoricalFS!H27/HistoricalFS!G27-1,0)</f>
        <v>0.27197458862736923</v>
      </c>
      <c r="I7" s="30">
        <f>IFERROR(HistoricalFS!I27/HistoricalFS!H27-1,0)</f>
        <v>0.13869898063618136</v>
      </c>
      <c r="J7" s="30">
        <f>IFERROR(HistoricalFS!J27/HistoricalFS!I27-1,0)</f>
        <v>0.10088081970159979</v>
      </c>
      <c r="K7" s="30">
        <f>IFERROR(HistoricalFS!K27/HistoricalFS!J27-1,0)</f>
        <v>2.1423206296332653E-2</v>
      </c>
      <c r="L7" s="30">
        <f>IFERROR(HistoricalFS!L27/HistoricalFS!K27-1,0)</f>
        <v>8.7316558493461649E-2</v>
      </c>
      <c r="N7" s="30">
        <f t="shared" si="0"/>
        <v>9.2671361942462588E-2</v>
      </c>
      <c r="O7" s="30">
        <f t="shared" si="1"/>
        <v>8.2010243277848893E-2</v>
      </c>
    </row>
    <row r="8" spans="2:15" x14ac:dyDescent="0.25">
      <c r="B8" t="s">
        <v>118</v>
      </c>
      <c r="D8" s="30">
        <f>IFERROR(HistoricalFS!D33/HistoricalFS!C33-1,0)</f>
        <v>9.0076188639212962E-2</v>
      </c>
      <c r="E8" s="30">
        <f>IFERROR(HistoricalFS!E33/HistoricalFS!D33-1,0)</f>
        <v>0.12518800318499523</v>
      </c>
      <c r="F8" s="30">
        <f>IFERROR(HistoricalFS!F33/HistoricalFS!E33-1,0)</f>
        <v>-1.4939455889290798E-2</v>
      </c>
      <c r="G8" s="30">
        <f>IFERROR(HistoricalFS!G33/HistoricalFS!F33-1,0)</f>
        <v>0.10440613026819934</v>
      </c>
      <c r="H8" s="30">
        <f>IFERROR(HistoricalFS!H33/HistoricalFS!G33-1,0)</f>
        <v>0.24472390864411686</v>
      </c>
      <c r="I8" s="30">
        <f>IFERROR(HistoricalFS!I33/HistoricalFS!H33-1,0)</f>
        <v>0.15265358262687267</v>
      </c>
      <c r="J8" s="30">
        <f>IFERROR(HistoricalFS!J33/HistoricalFS!I33-1,0)</f>
        <v>7.8383960505767902E-2</v>
      </c>
      <c r="K8" s="30">
        <f>IFERROR(HistoricalFS!K33/HistoricalFS!J33-1,0)</f>
        <v>6.0727799317981113E-3</v>
      </c>
      <c r="L8" s="30">
        <f>IFERROR(HistoricalFS!L33/HistoricalFS!K33-1,0)</f>
        <v>7.4894367832102793E-2</v>
      </c>
      <c r="N8" s="30">
        <f t="shared" si="0"/>
        <v>9.5717718415975012E-2</v>
      </c>
      <c r="O8" s="30">
        <f t="shared" si="1"/>
        <v>9.0076188639212962E-2</v>
      </c>
    </row>
    <row r="9" spans="2:15" x14ac:dyDescent="0.25">
      <c r="B9" s="31" t="s">
        <v>119</v>
      </c>
      <c r="C9" s="31"/>
      <c r="D9" s="32">
        <f>IFERROR(HistoricalFS!D41/HistoricalFS!C41-1,0)</f>
        <v>6.1855670103093008E-2</v>
      </c>
      <c r="E9" s="32">
        <f>IFERROR(HistoricalFS!E41/HistoricalFS!D41-1,0)</f>
        <v>0.68963896853592144</v>
      </c>
      <c r="F9" s="32">
        <f>IFERROR(HistoricalFS!F41/HistoricalFS!E41-1,0)</f>
        <v>-2.5838579728767352E-2</v>
      </c>
      <c r="G9" s="32">
        <f>IFERROR(HistoricalFS!G41/HistoricalFS!F41-1,0)</f>
        <v>-0.17390646350868544</v>
      </c>
      <c r="H9" s="32">
        <f>IFERROR(HistoricalFS!H41/HistoricalFS!G41-1,0)</f>
        <v>0.54369512340846549</v>
      </c>
      <c r="I9" s="32">
        <f>IFERROR(HistoricalFS!I41/HistoricalFS!H41-1,0)</f>
        <v>0.14865158399694378</v>
      </c>
      <c r="J9" s="32">
        <f>IFERROR(HistoricalFS!J41/HistoricalFS!I41-1,0)</f>
        <v>9.6761529392781709E-2</v>
      </c>
      <c r="K9" s="32">
        <f>IFERROR(HistoricalFS!K41/HistoricalFS!J41-1,0)</f>
        <v>0.35349861290755547</v>
      </c>
      <c r="L9" s="32">
        <f>IFERROR(HistoricalFS!L41/HistoricalFS!K41-1,0)</f>
        <v>-6.4855345095345629E-2</v>
      </c>
      <c r="M9" s="31"/>
      <c r="N9" s="32">
        <f t="shared" si="0"/>
        <v>0.18105567777910694</v>
      </c>
      <c r="O9" s="32">
        <f t="shared" si="1"/>
        <v>9.6761529392781709E-2</v>
      </c>
    </row>
    <row r="10" spans="2:15" x14ac:dyDescent="0.25">
      <c r="N10" s="19"/>
      <c r="O10" s="19"/>
    </row>
    <row r="11" spans="2:15" x14ac:dyDescent="0.25">
      <c r="B11" s="28" t="s">
        <v>120</v>
      </c>
      <c r="C11" s="29">
        <f>IFERROR(HistoricalFS!C13,0)</f>
        <v>0.35151583094441152</v>
      </c>
      <c r="D11" s="29">
        <f>IFERROR(HistoricalFS!D13,0)</f>
        <v>0.34862157584253256</v>
      </c>
      <c r="E11" s="29">
        <f>IFERROR(HistoricalFS!E13,0)</f>
        <v>0.34212018944442868</v>
      </c>
      <c r="F11" s="29">
        <f>IFERROR(HistoricalFS!F13,0)</f>
        <v>0.32934986392500754</v>
      </c>
      <c r="G11" s="29">
        <f>IFERROR(HistoricalFS!G13,0)</f>
        <v>0.31479992510270843</v>
      </c>
      <c r="H11" s="29">
        <f>IFERROR(HistoricalFS!H13,0)</f>
        <v>0.31831754120550998</v>
      </c>
      <c r="I11" s="29">
        <f>IFERROR(HistoricalFS!I13,0)</f>
        <v>0.30271043480405457</v>
      </c>
      <c r="J11" s="29">
        <f>IFERROR(HistoricalFS!J13,0)</f>
        <v>0.28539794367943749</v>
      </c>
      <c r="K11" s="29">
        <f>IFERROR(HistoricalFS!K13,0)</f>
        <v>0.28398516301164833</v>
      </c>
      <c r="L11" s="29">
        <f>IFERROR(HistoricalFS!L13,0)</f>
        <v>0.2847107184489846</v>
      </c>
      <c r="M11" s="28"/>
      <c r="N11" s="29">
        <f>IFERROR(AVERAGE(C11:L11),0)</f>
        <v>0.31615291864087242</v>
      </c>
      <c r="O11" s="29">
        <f t="shared" ref="O11:O31" si="2">IFERROR(MEDIAN(C11:L11),0)</f>
        <v>0.31655873315410921</v>
      </c>
    </row>
    <row r="12" spans="2:15" x14ac:dyDescent="0.25">
      <c r="B12" t="s">
        <v>121</v>
      </c>
      <c r="C12" s="30">
        <f>IFERROR(HistoricalFS!C19,0)</f>
        <v>0.27352220496148366</v>
      </c>
      <c r="D12" s="30">
        <f>IFERROR(HistoricalFS!D19,0)</f>
        <v>0.27165469306699375</v>
      </c>
      <c r="E12" s="30">
        <f>IFERROR(HistoricalFS!E19,0)</f>
        <v>0.26689543688494372</v>
      </c>
      <c r="F12" s="30">
        <f>IFERROR(HistoricalFS!F19,0)</f>
        <v>0.24396734200181433</v>
      </c>
      <c r="G12" s="30">
        <f>IFERROR(HistoricalFS!G19,0)</f>
        <v>0.24525558700752279</v>
      </c>
      <c r="H12" s="30">
        <f>IFERROR(HistoricalFS!H19,0)</f>
        <v>0.27757982323433394</v>
      </c>
      <c r="I12" s="30">
        <f>IFERROR(HistoricalFS!I19,0)</f>
        <v>0.25888475102966929</v>
      </c>
      <c r="J12" s="30">
        <f>IFERROR(HistoricalFS!J19,0)</f>
        <v>0.23935898396778568</v>
      </c>
      <c r="K12" s="30">
        <f>IFERROR(HistoricalFS!K19,0)</f>
        <v>0.23703390381987374</v>
      </c>
      <c r="L12" s="30">
        <f>IFERROR(HistoricalFS!L19,0)</f>
        <v>0.24072642493404503</v>
      </c>
      <c r="N12" s="30">
        <f t="shared" ref="N12:N31" si="3">IFERROR(AVERAGE(C12:L12),0)</f>
        <v>0.25548791509084656</v>
      </c>
      <c r="O12" s="30">
        <f t="shared" si="2"/>
        <v>0.25207016901859602</v>
      </c>
    </row>
    <row r="13" spans="2:15" x14ac:dyDescent="0.25">
      <c r="B13" t="s">
        <v>122</v>
      </c>
      <c r="C13" s="30">
        <f>IFERROR((HistoricalFS!C18-HistoricalFS!C24)/HistoricalFS!C6,0)</f>
        <v>0.25015614740314857</v>
      </c>
      <c r="D13" s="30">
        <f>IFERROR((HistoricalFS!D18-HistoricalFS!D24)/HistoricalFS!D6,0)</f>
        <v>0.24678757081946148</v>
      </c>
      <c r="E13" s="30">
        <f>IFERROR((HistoricalFS!E18-HistoricalFS!E24)/HistoricalFS!E6,0)</f>
        <v>0.24047814866282863</v>
      </c>
      <c r="F13" s="30">
        <f>IFERROR((HistoricalFS!F18-HistoricalFS!F24)/HistoricalFS!F6,0)</f>
        <v>0.2196431811309344</v>
      </c>
      <c r="G13" s="30">
        <f>IFERROR((HistoricalFS!G18-HistoricalFS!G24)/HistoricalFS!G6,0)</f>
        <v>0.21339119516251612</v>
      </c>
      <c r="H13" s="30">
        <f>IFERROR((HistoricalFS!H18-HistoricalFS!H24)/HistoricalFS!H6,0)</f>
        <v>0.24506330121824987</v>
      </c>
      <c r="I13" s="30">
        <f>IFERROR((HistoricalFS!I18-HistoricalFS!I24)/HistoricalFS!I6,0)</f>
        <v>0.23030885967724699</v>
      </c>
      <c r="J13" s="30">
        <f>IFERROR((HistoricalFS!J18-HistoricalFS!J24)/HistoricalFS!J6,0)</f>
        <v>0.21057185879659596</v>
      </c>
      <c r="K13" s="30">
        <f>IFERROR((HistoricalFS!K18-HistoricalFS!K24)/HistoricalFS!K6,0)</f>
        <v>0.20659204789483959</v>
      </c>
      <c r="L13" s="30">
        <f>IFERROR((HistoricalFS!L18-HistoricalFS!L24)/HistoricalFS!L6,0)</f>
        <v>0.21120314129701209</v>
      </c>
      <c r="N13" s="30">
        <f t="shared" si="3"/>
        <v>0.22741954520628335</v>
      </c>
      <c r="O13" s="30">
        <f t="shared" si="2"/>
        <v>0.2249760204040907</v>
      </c>
    </row>
    <row r="14" spans="2:15" x14ac:dyDescent="0.25">
      <c r="B14" t="s">
        <v>123</v>
      </c>
      <c r="C14" s="30">
        <f>IFERROR(HistoricalFS!C28,0)</f>
        <v>0.25015614740314857</v>
      </c>
      <c r="D14" s="30">
        <f>IFERROR(HistoricalFS!D28,0)</f>
        <v>0.24678757081946148</v>
      </c>
      <c r="E14" s="30">
        <f>IFERROR(HistoricalFS!E28,0)</f>
        <v>0.24047814866282863</v>
      </c>
      <c r="F14" s="30">
        <f>IFERROR(HistoricalFS!F28,0)</f>
        <v>0.2196431811309344</v>
      </c>
      <c r="G14" s="30">
        <f>IFERROR(HistoricalFS!G28,0)</f>
        <v>0.211518762872972</v>
      </c>
      <c r="H14" s="30">
        <f>IFERROR(HistoricalFS!H28,0)</f>
        <v>0.24312246197945697</v>
      </c>
      <c r="I14" s="30">
        <f>IFERROR(HistoricalFS!I28,0)</f>
        <v>0.2286646772058763</v>
      </c>
      <c r="J14" s="30">
        <f>IFERROR(HistoricalFS!J28,0)</f>
        <v>0.20863681890343197</v>
      </c>
      <c r="K14" s="30">
        <f>IFERROR(HistoricalFS!K28,0)</f>
        <v>0.20353354591006703</v>
      </c>
      <c r="L14" s="30">
        <f>IFERROR(HistoricalFS!L28,0)</f>
        <v>0.20865083747469171</v>
      </c>
      <c r="N14" s="30">
        <f t="shared" si="3"/>
        <v>0.22611921523628689</v>
      </c>
      <c r="O14" s="30">
        <f t="shared" si="2"/>
        <v>0.22415392916840535</v>
      </c>
    </row>
    <row r="15" spans="2:15" x14ac:dyDescent="0.25">
      <c r="B15" s="31" t="s">
        <v>124</v>
      </c>
      <c r="C15" s="32">
        <f>IFERROR(HistoricalFS!C34,0)</f>
        <v>0.16606076135872264</v>
      </c>
      <c r="D15" s="32">
        <f>IFERROR(HistoricalFS!D34,0)</f>
        <v>0.16504585012557677</v>
      </c>
      <c r="E15" s="32">
        <f>IFERROR(HistoricalFS!E34,0)</f>
        <v>0.18034088653186239</v>
      </c>
      <c r="F15" s="32">
        <f>IFERROR(HistoricalFS!F34,0)</f>
        <v>0.1515331115814938</v>
      </c>
      <c r="G15" s="32">
        <f>IFERROR(HistoricalFS!G34,0)</f>
        <v>0.15239395975372008</v>
      </c>
      <c r="H15" s="32">
        <f>IFERROR(HistoricalFS!H34,0)</f>
        <v>0.17141094036149376</v>
      </c>
      <c r="I15" s="32">
        <f>IFERROR(HistoricalFS!I34,0)</f>
        <v>0.16319333119589613</v>
      </c>
      <c r="J15" s="32">
        <f>IFERROR(HistoricalFS!J34,0)</f>
        <v>0.14585703870761138</v>
      </c>
      <c r="K15" s="32">
        <f>IFERROR(HistoricalFS!K34,0)</f>
        <v>0.14015097286392919</v>
      </c>
      <c r="L15" s="32">
        <f>IFERROR(HistoricalFS!L34,0)</f>
        <v>0.14203325357383889</v>
      </c>
      <c r="M15" s="31"/>
      <c r="N15" s="32">
        <f t="shared" si="3"/>
        <v>0.15780201060541449</v>
      </c>
      <c r="O15" s="32">
        <f t="shared" si="2"/>
        <v>0.15779364547480812</v>
      </c>
    </row>
    <row r="16" spans="2:15" x14ac:dyDescent="0.25">
      <c r="N16" s="19"/>
      <c r="O16" s="19"/>
    </row>
    <row r="17" spans="2:15" x14ac:dyDescent="0.25">
      <c r="B17" s="28" t="s">
        <v>125</v>
      </c>
      <c r="C17" s="29">
        <f>IFERROR(HistoricalFS!C16,0)</f>
        <v>7.7993625982927889E-2</v>
      </c>
      <c r="D17" s="29">
        <f>IFERROR(HistoricalFS!D16,0)</f>
        <v>7.6966882775538814E-2</v>
      </c>
      <c r="E17" s="29">
        <f>IFERROR(HistoricalFS!E16,0)</f>
        <v>7.5224752559484978E-2</v>
      </c>
      <c r="F17" s="29">
        <f>IFERROR(HistoricalFS!F16,0)</f>
        <v>8.5382521923193233E-2</v>
      </c>
      <c r="G17" s="29">
        <f>IFERROR(HistoricalFS!G16,0)</f>
        <v>6.9544338095185648E-2</v>
      </c>
      <c r="H17" s="29">
        <f>IFERROR(HistoricalFS!H16,0)</f>
        <v>4.0737717971176049E-2</v>
      </c>
      <c r="I17" s="29">
        <f>IFERROR(HistoricalFS!I16,0)</f>
        <v>4.3825683774385282E-2</v>
      </c>
      <c r="J17" s="29">
        <f>IFERROR(HistoricalFS!J16,0)</f>
        <v>4.6038959711651804E-2</v>
      </c>
      <c r="K17" s="29">
        <f>IFERROR(HistoricalFS!K16,0)</f>
        <v>4.6951259191774584E-2</v>
      </c>
      <c r="L17" s="29">
        <f>IFERROR(HistoricalFS!L16,0)</f>
        <v>4.3984293514939564E-2</v>
      </c>
      <c r="M17" s="28"/>
      <c r="N17" s="29">
        <f t="shared" si="3"/>
        <v>6.0665003550025784E-2</v>
      </c>
      <c r="O17" s="29">
        <f t="shared" si="2"/>
        <v>5.824779864348012E-2</v>
      </c>
    </row>
    <row r="18" spans="2:15" x14ac:dyDescent="0.25">
      <c r="B18" t="s">
        <v>65</v>
      </c>
      <c r="C18" s="30">
        <f>IFERROR(HistoricalFS!C25,0)</f>
        <v>2.3366057558335068E-2</v>
      </c>
      <c r="D18" s="30">
        <f>IFERROR(HistoricalFS!D25,0)</f>
        <v>2.4867122247532271E-2</v>
      </c>
      <c r="E18" s="30">
        <f>IFERROR(HistoricalFS!E25,0)</f>
        <v>2.6417288222115084E-2</v>
      </c>
      <c r="F18" s="30">
        <f>IFERROR(HistoricalFS!F25,0)</f>
        <v>2.4324160870879952E-2</v>
      </c>
      <c r="G18" s="30">
        <f>IFERROR(HistoricalFS!G25,0)</f>
        <v>3.1864391845006661E-2</v>
      </c>
      <c r="H18" s="30">
        <f>IFERROR(HistoricalFS!H25,0)</f>
        <v>3.2516522016084085E-2</v>
      </c>
      <c r="I18" s="30">
        <f>IFERROR(HistoricalFS!I25,0)</f>
        <v>2.8575891352422292E-2</v>
      </c>
      <c r="J18" s="30">
        <f>IFERROR(HistoricalFS!J25,0)</f>
        <v>2.8787125171189708E-2</v>
      </c>
      <c r="K18" s="30">
        <f>IFERROR(HistoricalFS!K25,0)</f>
        <v>3.0441855925034164E-2</v>
      </c>
      <c r="L18" s="30">
        <f>IFERROR(HistoricalFS!L25,0)</f>
        <v>2.9523283637032948E-2</v>
      </c>
      <c r="N18" s="30">
        <f t="shared" si="3"/>
        <v>2.8068369884563221E-2</v>
      </c>
      <c r="O18" s="30">
        <f t="shared" si="2"/>
        <v>2.8681508261806002E-2</v>
      </c>
    </row>
    <row r="19" spans="2:15" x14ac:dyDescent="0.25">
      <c r="B19" s="31" t="s">
        <v>126</v>
      </c>
      <c r="C19" s="33">
        <f>C13</f>
        <v>0.25015614740314857</v>
      </c>
      <c r="D19" s="33">
        <f t="shared" ref="D19:L19" si="4">D13</f>
        <v>0.24678757081946148</v>
      </c>
      <c r="E19" s="33">
        <f t="shared" si="4"/>
        <v>0.24047814866282863</v>
      </c>
      <c r="F19" s="33">
        <f t="shared" si="4"/>
        <v>0.2196431811309344</v>
      </c>
      <c r="G19" s="33">
        <f t="shared" si="4"/>
        <v>0.21339119516251612</v>
      </c>
      <c r="H19" s="33">
        <f t="shared" si="4"/>
        <v>0.24506330121824987</v>
      </c>
      <c r="I19" s="33">
        <f t="shared" si="4"/>
        <v>0.23030885967724699</v>
      </c>
      <c r="J19" s="33">
        <f t="shared" si="4"/>
        <v>0.21057185879659596</v>
      </c>
      <c r="K19" s="33">
        <f t="shared" si="4"/>
        <v>0.20659204789483959</v>
      </c>
      <c r="L19" s="33">
        <f t="shared" si="4"/>
        <v>0.21120314129701209</v>
      </c>
      <c r="M19" s="31"/>
      <c r="N19" s="32">
        <f t="shared" si="3"/>
        <v>0.22741954520628335</v>
      </c>
      <c r="O19" s="32">
        <f t="shared" si="2"/>
        <v>0.2249760204040907</v>
      </c>
    </row>
    <row r="20" spans="2:15" x14ac:dyDescent="0.25">
      <c r="N20" s="19"/>
      <c r="O20" s="19"/>
    </row>
    <row r="21" spans="2:15" x14ac:dyDescent="0.25">
      <c r="B21" s="28" t="s">
        <v>127</v>
      </c>
      <c r="C21" s="29">
        <f>IFERROR((HistoricalFS!C18-HistoricalFS!C24)/SUM(HistoricalFS!C47:C49),0)</f>
        <v>0.25298004664420837</v>
      </c>
      <c r="D21" s="29">
        <f>IFERROR((HistoricalFS!D18-HistoricalFS!D24)/SUM(HistoricalFS!D47:D49),0)</f>
        <v>0.24500594357948449</v>
      </c>
      <c r="E21" s="29">
        <f>IFERROR((HistoricalFS!E18-HistoricalFS!E24)/SUM(HistoricalFS!E47:E49),0)</f>
        <v>0.26121713414352388</v>
      </c>
      <c r="F21" s="29">
        <f>IFERROR((HistoricalFS!F18-HistoricalFS!F24)/SUM(HistoricalFS!F47:F49),0)</f>
        <v>0.27959290509330542</v>
      </c>
      <c r="G21" s="29">
        <f>IFERROR((HistoricalFS!G18-HistoricalFS!G24)/SUM(HistoricalFS!G47:G49),0)</f>
        <v>0.27644364539189248</v>
      </c>
      <c r="H21" s="29">
        <f>IFERROR((HistoricalFS!H18-HistoricalFS!H24)/SUM(HistoricalFS!H47:H49),0)</f>
        <v>0.30145942504530093</v>
      </c>
      <c r="I21" s="29">
        <f>IFERROR((HistoricalFS!I18-HistoricalFS!I24)/SUM(HistoricalFS!I47:I49),0)</f>
        <v>0.34661734138374739</v>
      </c>
      <c r="J21" s="29">
        <f>IFERROR((HistoricalFS!J18-HistoricalFS!J24)/SUM(HistoricalFS!J47:J49),0)</f>
        <v>0.36920889780899818</v>
      </c>
      <c r="K21" s="29">
        <f>IFERROR((HistoricalFS!K18-HistoricalFS!K24)/SUM(HistoricalFS!K47:K49),0)</f>
        <v>0.32906970717802542</v>
      </c>
      <c r="L21" s="29">
        <f>IFERROR((HistoricalFS!L18-HistoricalFS!L24)/SUM(HistoricalFS!L47:L49),0)</f>
        <v>0.33085684079004279</v>
      </c>
      <c r="M21" s="28"/>
      <c r="N21" s="29">
        <f t="shared" si="3"/>
        <v>0.29924518870585293</v>
      </c>
      <c r="O21" s="29">
        <f t="shared" si="2"/>
        <v>0.29052616506930318</v>
      </c>
    </row>
    <row r="22" spans="2:15" x14ac:dyDescent="0.25">
      <c r="B22" t="s">
        <v>128</v>
      </c>
      <c r="C22" s="30">
        <f>IFERROR(HistoricalFS!C44,0)</f>
        <v>0.46490500530427237</v>
      </c>
      <c r="D22" s="30">
        <f>IFERROR(HistoricalFS!D44,0)</f>
        <v>0.47875785189772624</v>
      </c>
      <c r="E22" s="30">
        <f>IFERROR(HistoricalFS!E44,0)</f>
        <v>0.25573203333857519</v>
      </c>
      <c r="F22" s="30">
        <f>IFERROR(HistoricalFS!F44,0)</f>
        <v>0.26384897828863341</v>
      </c>
      <c r="G22" s="30">
        <f>IFERROR(HistoricalFS!G44,0)</f>
        <v>0.46321191095692393</v>
      </c>
      <c r="H22" s="30">
        <f>IFERROR(HistoricalFS!H44,0)</f>
        <v>0.33401463244687024</v>
      </c>
      <c r="I22" s="30">
        <f>IFERROR(HistoricalFS!I44,0)</f>
        <v>0.3447383003375144</v>
      </c>
      <c r="J22" s="30">
        <f>IFERROR(HistoricalFS!J44,0)</f>
        <v>0.34277572756574948</v>
      </c>
      <c r="K22" s="30">
        <f>IFERROR(HistoricalFS!K44,0)</f>
        <v>0.1153271114825648</v>
      </c>
      <c r="L22" s="30">
        <f>IFERROR(HistoricalFS!L44,0)</f>
        <v>0.22990064794816423</v>
      </c>
      <c r="N22" s="30">
        <f t="shared" si="3"/>
        <v>0.32932121995669938</v>
      </c>
      <c r="O22" s="30">
        <f t="shared" si="2"/>
        <v>0.33839518000630986</v>
      </c>
    </row>
    <row r="23" spans="2:15" x14ac:dyDescent="0.25">
      <c r="B23" t="s">
        <v>129</v>
      </c>
      <c r="C23" s="30">
        <f>IFERROR(HistoricalFS!C33/SUM(HistoricalFS!C47:C48),0)</f>
        <v>0.16793534594454521</v>
      </c>
      <c r="D23" s="30">
        <f>IFERROR(HistoricalFS!D33/SUM(HistoricalFS!D47:D48),0)</f>
        <v>0.16385433881302369</v>
      </c>
      <c r="E23" s="30">
        <f>IFERROR(HistoricalFS!E33/SUM(HistoricalFS!E47:E48),0)</f>
        <v>0.19589359703032824</v>
      </c>
      <c r="F23" s="30">
        <f>IFERROR(HistoricalFS!F33/SUM(HistoricalFS!F47:F48),0)</f>
        <v>0.1928927757590688</v>
      </c>
      <c r="G23" s="30">
        <f>IFERROR(HistoricalFS!G33/SUM(HistoricalFS!G47:G48),0)</f>
        <v>0.21139801375095493</v>
      </c>
      <c r="H23" s="30">
        <f>IFERROR(HistoricalFS!H33/SUM(HistoricalFS!H47:H48),0)</f>
        <v>0.22556351586750664</v>
      </c>
      <c r="I23" s="30">
        <f>IFERROR(HistoricalFS!I33/SUM(HistoricalFS!I47:I48),0)</f>
        <v>0.26345056403450562</v>
      </c>
      <c r="J23" s="30">
        <f>IFERROR(HistoricalFS!J33/SUM(HistoricalFS!J47:J48),0)</f>
        <v>0.28388611136897107</v>
      </c>
      <c r="K23" s="30">
        <f>IFERROR(HistoricalFS!K33/SUM(HistoricalFS!K47:K48),0)</f>
        <v>0.24441645104180854</v>
      </c>
      <c r="L23" s="30">
        <f>IFERROR(HistoricalFS!L33/SUM(HistoricalFS!L47:L48),0)</f>
        <v>0.24160387401114614</v>
      </c>
      <c r="N23" s="30">
        <f t="shared" si="3"/>
        <v>0.21908945876218588</v>
      </c>
      <c r="O23" s="30">
        <f t="shared" si="2"/>
        <v>0.21848076480923079</v>
      </c>
    </row>
    <row r="24" spans="2:15" x14ac:dyDescent="0.25">
      <c r="B24" t="s">
        <v>130</v>
      </c>
      <c r="C24" s="30">
        <f>IFERROR(C22*C23,0)</f>
        <v>7.8073982897123598E-2</v>
      </c>
      <c r="D24" s="30">
        <f t="shared" ref="D24:L24" si="5">IFERROR(D22*D23,0)</f>
        <v>7.8446551274245449E-2</v>
      </c>
      <c r="E24" s="30">
        <f t="shared" si="5"/>
        <v>5.0096267886573315E-2</v>
      </c>
      <c r="F24" s="30">
        <f t="shared" si="5"/>
        <v>5.0894561803288774E-2</v>
      </c>
      <c r="G24" s="30">
        <f t="shared" si="5"/>
        <v>9.7922077922077924E-2</v>
      </c>
      <c r="H24" s="30">
        <f t="shared" si="5"/>
        <v>7.5341514845909008E-2</v>
      </c>
      <c r="I24" s="30">
        <f t="shared" si="5"/>
        <v>9.0821499668214969E-2</v>
      </c>
      <c r="J24" s="30">
        <f t="shared" si="5"/>
        <v>9.7309268370310439E-2</v>
      </c>
      <c r="K24" s="30">
        <f t="shared" si="5"/>
        <v>2.8187843297471496E-2</v>
      </c>
      <c r="L24" s="30">
        <f t="shared" si="5"/>
        <v>5.554488718194913E-2</v>
      </c>
      <c r="N24" s="30">
        <f t="shared" si="3"/>
        <v>7.02638455147164E-2</v>
      </c>
      <c r="O24" s="30">
        <f t="shared" si="2"/>
        <v>7.6707748871516296E-2</v>
      </c>
    </row>
    <row r="25" spans="2:15" x14ac:dyDescent="0.25">
      <c r="B25" s="31" t="s">
        <v>131</v>
      </c>
      <c r="C25" s="34">
        <f>IFERROR((HistoricalFS!C18-HistoricalFS!C24)/HistoricalFS!C21,0)</f>
        <v>0</v>
      </c>
      <c r="D25" s="34">
        <f>IFERROR((HistoricalFS!D18-HistoricalFS!D24)/HistoricalFS!D21,0)</f>
        <v>0</v>
      </c>
      <c r="E25" s="34">
        <f>IFERROR((HistoricalFS!E18-HistoricalFS!E24)/HistoricalFS!E21,0)</f>
        <v>0</v>
      </c>
      <c r="F25" s="34">
        <f>IFERROR((HistoricalFS!F18-HistoricalFS!F24)/HistoricalFS!F21,0)</f>
        <v>0</v>
      </c>
      <c r="G25" s="34">
        <f>IFERROR((HistoricalFS!G18-HistoricalFS!G24)/HistoricalFS!G21,0)</f>
        <v>113.96470588235294</v>
      </c>
      <c r="H25" s="34">
        <f>IFERROR((HistoricalFS!H18-HistoricalFS!H24)/HistoricalFS!H21,0)</f>
        <v>126.26666666666667</v>
      </c>
      <c r="I25" s="34">
        <f>IFERROR((HistoricalFS!I18-HistoricalFS!I24)/HistoricalFS!I21,0)</f>
        <v>140.07499999999999</v>
      </c>
      <c r="J25" s="34">
        <f>IFERROR((HistoricalFS!J18-HistoricalFS!J24)/HistoricalFS!J21,0)</f>
        <v>108.82042253521126</v>
      </c>
      <c r="K25" s="34">
        <f>IFERROR((HistoricalFS!K18-HistoricalFS!K24)/HistoricalFS!K21,0)</f>
        <v>67.5468085106383</v>
      </c>
      <c r="L25" s="34">
        <f>IFERROR((HistoricalFS!L18-HistoricalFS!L24)/HistoricalFS!L21,0)</f>
        <v>82.75</v>
      </c>
      <c r="M25" s="31"/>
      <c r="N25" s="34">
        <f t="shared" si="3"/>
        <v>63.942360359486919</v>
      </c>
      <c r="O25" s="34">
        <f t="shared" si="2"/>
        <v>75.14840425531915</v>
      </c>
    </row>
    <row r="26" spans="2:15" x14ac:dyDescent="0.25">
      <c r="N26" s="19"/>
      <c r="O26" s="19"/>
    </row>
    <row r="27" spans="2:15" x14ac:dyDescent="0.25">
      <c r="B27" s="28" t="s">
        <v>132</v>
      </c>
      <c r="C27" s="35">
        <f>IFERROR(HistoricalFS!C6/HistoricalFS!C59,0)</f>
        <v>5.5111209179170348</v>
      </c>
      <c r="D27" s="35">
        <f>IFERROR(HistoricalFS!D6/HistoricalFS!D59,0)</f>
        <v>5.5578639831196233</v>
      </c>
      <c r="E27" s="35">
        <f>IFERROR(HistoricalFS!E6/HistoricalFS!E59,0)</f>
        <v>5.3661543144118093</v>
      </c>
      <c r="F27" s="35">
        <f>IFERROR(HistoricalFS!F6/HistoricalFS!F59,0)</f>
        <v>5.5759762595265396</v>
      </c>
      <c r="G27" s="35">
        <f>IFERROR(HistoricalFS!G6/HistoricalFS!G59,0)</f>
        <v>4.9110726456428839</v>
      </c>
      <c r="H27" s="35">
        <f>IFERROR(HistoricalFS!H6/HistoricalFS!H59,0)</f>
        <v>5.2074219964755883</v>
      </c>
      <c r="I27" s="35">
        <f>IFERROR(HistoricalFS!I6/HistoricalFS!I59,0)</f>
        <v>5.3591065292096216</v>
      </c>
      <c r="J27" s="35">
        <f>IFERROR(HistoricalFS!J6/HistoricalFS!J59,0)</f>
        <v>5.7727737570799249</v>
      </c>
      <c r="K27" s="35">
        <f>IFERROR(HistoricalFS!K6/HistoricalFS!K59,0)</f>
        <v>5.0895903023879709</v>
      </c>
      <c r="L27" s="35">
        <f>IFERROR(HistoricalFS!L6/HistoricalFS!L59,0)</f>
        <v>5.2310803004043906</v>
      </c>
      <c r="M27" s="28"/>
      <c r="N27" s="35">
        <f t="shared" si="3"/>
        <v>5.3582161006175379</v>
      </c>
      <c r="O27" s="35">
        <f t="shared" si="2"/>
        <v>5.3626304218107155</v>
      </c>
    </row>
    <row r="28" spans="2:15" x14ac:dyDescent="0.25">
      <c r="B28" t="s">
        <v>133</v>
      </c>
      <c r="C28" s="26">
        <f>IFERROR(HistoricalFS!C6/HistoricalFS!C50,0)</f>
        <v>4.6758274674254903</v>
      </c>
      <c r="D28" s="26">
        <f>IFERROR(HistoricalFS!D6/HistoricalFS!D50,0)</f>
        <v>4.8343922066920797</v>
      </c>
      <c r="E28" s="26">
        <f>IFERROR(HistoricalFS!E6/HistoricalFS!E50,0)</f>
        <v>4.8885345903230277</v>
      </c>
      <c r="F28" s="26">
        <f>IFERROR(HistoricalFS!F6/HistoricalFS!F50,0)</f>
        <v>4.3244586253792239</v>
      </c>
      <c r="G28" s="26">
        <f>IFERROR(HistoricalFS!G6/HistoricalFS!G50,0)</f>
        <v>4.1806418934475298</v>
      </c>
      <c r="H28" s="26">
        <f>IFERROR(HistoricalFS!H6/HistoricalFS!H50,0)</f>
        <v>3.8889878072382427</v>
      </c>
      <c r="I28" s="26">
        <f>IFERROR(HistoricalFS!I6/HistoricalFS!I50,0)</f>
        <v>3.3878568444506336</v>
      </c>
      <c r="J28" s="26">
        <f>IFERROR(HistoricalFS!J6/HistoricalFS!J50,0)</f>
        <v>3.5893127904133042</v>
      </c>
      <c r="K28" s="26">
        <f>IFERROR(HistoricalFS!K6/HistoricalFS!K50,0)</f>
        <v>3.7585911703558761</v>
      </c>
      <c r="L28" s="26">
        <f>IFERROR(HistoricalFS!L6/HistoricalFS!L50,0)</f>
        <v>3.7254857142857141</v>
      </c>
      <c r="N28" s="26">
        <f t="shared" si="3"/>
        <v>4.1254089110011121</v>
      </c>
      <c r="O28" s="26">
        <f t="shared" si="2"/>
        <v>4.0348148503428867</v>
      </c>
    </row>
    <row r="29" spans="2:15" x14ac:dyDescent="0.25">
      <c r="B29" t="s">
        <v>134</v>
      </c>
      <c r="C29" s="26">
        <f>IFERROR(HistoricalFS!C6/HistoricalFS!C60,0)</f>
        <v>0</v>
      </c>
      <c r="D29" s="26">
        <f>IFERROR(HistoricalFS!D6/HistoricalFS!D60,0)</f>
        <v>0</v>
      </c>
      <c r="E29" s="26">
        <f>IFERROR(HistoricalFS!E6/HistoricalFS!E60,0)</f>
        <v>0</v>
      </c>
      <c r="F29" s="26">
        <f>IFERROR(HistoricalFS!F6/HistoricalFS!F60,0)</f>
        <v>0</v>
      </c>
      <c r="G29" s="26">
        <f>IFERROR(HistoricalFS!G6/HistoricalFS!G60,0)</f>
        <v>0</v>
      </c>
      <c r="H29" s="26">
        <f>IFERROR(HistoricalFS!H6/HistoricalFS!H60,0)</f>
        <v>0</v>
      </c>
      <c r="I29" s="26">
        <f>IFERROR(HistoricalFS!I6/HistoricalFS!I60,0)</f>
        <v>0</v>
      </c>
      <c r="J29" s="26">
        <f>IFERROR(HistoricalFS!J6/HistoricalFS!J60,0)</f>
        <v>0</v>
      </c>
      <c r="K29" s="26">
        <f>IFERROR(HistoricalFS!K6/HistoricalFS!K60,0)</f>
        <v>0</v>
      </c>
      <c r="L29" s="26">
        <f>IFERROR(HistoricalFS!L6/HistoricalFS!L60,0)</f>
        <v>0</v>
      </c>
      <c r="N29" s="26">
        <f t="shared" si="3"/>
        <v>0</v>
      </c>
      <c r="O29" s="26">
        <f t="shared" si="2"/>
        <v>0</v>
      </c>
    </row>
    <row r="30" spans="2:15" x14ac:dyDescent="0.25">
      <c r="B30" t="s">
        <v>135</v>
      </c>
      <c r="C30" s="26">
        <f>IFERROR(HistoricalFS!C6/HistoricalFS!C53,0)</f>
        <v>4.6646496339459134</v>
      </c>
      <c r="D30" s="26">
        <f>IFERROR(HistoricalFS!D6/HistoricalFS!D53,0)</f>
        <v>4.8299597997037873</v>
      </c>
      <c r="E30" s="26">
        <f>IFERROR(HistoricalFS!E6/HistoricalFS!E53,0)</f>
        <v>5.6085573405439799</v>
      </c>
      <c r="F30" s="26">
        <f>IFERROR(HistoricalFS!F6/HistoricalFS!F53,0)</f>
        <v>5.2625716104392106</v>
      </c>
      <c r="G30" s="26">
        <f>IFERROR(HistoricalFS!G6/HistoricalFS!G53,0)</f>
        <v>3.8165118332002188</v>
      </c>
      <c r="H30" s="26">
        <f>IFERROR(HistoricalFS!H6/HistoricalFS!H53,0)</f>
        <v>3.9393060184277591</v>
      </c>
      <c r="I30" s="26">
        <f>IFERROR(HistoricalFS!I6/HistoricalFS!I53,0)</f>
        <v>4.7147674418604648</v>
      </c>
      <c r="J30" s="26">
        <f>IFERROR(HistoricalFS!J6/HistoricalFS!J53,0)</f>
        <v>5.0219674935842598</v>
      </c>
      <c r="K30" s="26">
        <f>IFERROR(HistoricalFS!K6/HistoricalFS!K53,0)</f>
        <v>5.5633190934762142</v>
      </c>
      <c r="L30" s="26">
        <f>IFERROR(HistoricalFS!L6/HistoricalFS!L53,0)</f>
        <v>5.2643648460967025</v>
      </c>
      <c r="N30" s="26">
        <f t="shared" si="3"/>
        <v>4.8685975111278523</v>
      </c>
      <c r="O30" s="26">
        <f t="shared" si="2"/>
        <v>4.9259636466440231</v>
      </c>
    </row>
    <row r="31" spans="2:15" x14ac:dyDescent="0.25">
      <c r="B31" s="31" t="s">
        <v>136</v>
      </c>
      <c r="C31" s="34">
        <f>IFERROR(HistoricalFS!C6/SUM(HistoricalFS!C47:C48),0)</f>
        <v>1.0112885462555066</v>
      </c>
      <c r="D31" s="34">
        <f>IFERROR(HistoricalFS!D6/SUM(HistoricalFS!D47:D48),0)</f>
        <v>0.99278072540662776</v>
      </c>
      <c r="E31" s="34">
        <f>IFERROR(HistoricalFS!E6/SUM(HistoricalFS!E47:E48),0)</f>
        <v>1.0862406235078477</v>
      </c>
      <c r="F31" s="34">
        <f>IFERROR(HistoricalFS!F6/SUM(HistoricalFS!F47:F48),0)</f>
        <v>1.2729414300671307</v>
      </c>
      <c r="G31" s="34">
        <f>IFERROR(HistoricalFS!G6/SUM(HistoricalFS!G47:G48),0)</f>
        <v>1.3871810542398777</v>
      </c>
      <c r="H31" s="34">
        <f>IFERROR(HistoricalFS!H6/SUM(HistoricalFS!H47:H48),0)</f>
        <v>1.3159225157496299</v>
      </c>
      <c r="I31" s="34">
        <f>IFERROR(HistoricalFS!I6/SUM(HistoricalFS!I47:I48),0)</f>
        <v>1.6143463835434639</v>
      </c>
      <c r="J31" s="34">
        <f>IFERROR(HistoricalFS!J6/SUM(HistoricalFS!J47:J48),0)</f>
        <v>1.9463312424575967</v>
      </c>
      <c r="K31" s="34">
        <f>IFERROR(HistoricalFS!K6/SUM(HistoricalFS!K47:K48),0)</f>
        <v>1.7439511552952927</v>
      </c>
      <c r="L31" s="34">
        <f>IFERROR(HistoricalFS!L6/SUM(HistoricalFS!L47:L48),0)</f>
        <v>1.701037383372644</v>
      </c>
      <c r="M31" s="31"/>
      <c r="N31" s="34">
        <f t="shared" si="3"/>
        <v>1.4072021059895614</v>
      </c>
      <c r="O31" s="34">
        <f t="shared" si="2"/>
        <v>1.3515517849947538</v>
      </c>
    </row>
    <row r="32" spans="2:15" x14ac:dyDescent="0.25">
      <c r="C32" s="26"/>
      <c r="D32" s="26"/>
      <c r="E32" s="26"/>
      <c r="F32" s="26"/>
      <c r="G32" s="26"/>
      <c r="H32" s="26"/>
      <c r="I32" s="26"/>
      <c r="J32" s="26"/>
      <c r="K32" s="26"/>
      <c r="L32" s="26"/>
      <c r="N32" s="19"/>
      <c r="O32" s="19"/>
    </row>
    <row r="33" spans="2:15" x14ac:dyDescent="0.25">
      <c r="B33" s="27" t="s">
        <v>144</v>
      </c>
      <c r="N33" s="19"/>
      <c r="O33" s="19"/>
    </row>
    <row r="34" spans="2:15" x14ac:dyDescent="0.25">
      <c r="B34" s="28" t="s">
        <v>137</v>
      </c>
      <c r="C34" s="36">
        <f>IFERROR(365/C27,0)</f>
        <v>66.229720856488527</v>
      </c>
      <c r="D34" s="36">
        <f t="shared" ref="D34:L34" si="6">IFERROR(365/D27,0)</f>
        <v>65.672711874306415</v>
      </c>
      <c r="E34" s="36">
        <f t="shared" si="6"/>
        <v>68.018916082924477</v>
      </c>
      <c r="F34" s="36">
        <f t="shared" si="6"/>
        <v>65.459389174478375</v>
      </c>
      <c r="G34" s="36">
        <f t="shared" si="6"/>
        <v>74.321849081957467</v>
      </c>
      <c r="H34" s="36">
        <f t="shared" si="6"/>
        <v>70.092264511505689</v>
      </c>
      <c r="I34" s="36">
        <f t="shared" si="6"/>
        <v>68.108368066688044</v>
      </c>
      <c r="J34" s="36">
        <f t="shared" si="6"/>
        <v>63.227837320378555</v>
      </c>
      <c r="K34" s="36">
        <f t="shared" si="6"/>
        <v>71.715006182078483</v>
      </c>
      <c r="L34" s="36">
        <f t="shared" si="6"/>
        <v>69.775262286029815</v>
      </c>
      <c r="M34" s="28"/>
      <c r="N34" s="36">
        <f t="shared" ref="N34:N40" si="7">IFERROR(AVERAGE(C34:L34),0)</f>
        <v>68.262132543683578</v>
      </c>
      <c r="O34" s="36">
        <f t="shared" ref="O34:O37" si="8">IFERROR(MEDIAN(C34:L34),0)</f>
        <v>68.063642074806268</v>
      </c>
    </row>
    <row r="35" spans="2:15" x14ac:dyDescent="0.25">
      <c r="B35" t="s">
        <v>138</v>
      </c>
      <c r="C35" s="37">
        <f>IFERROR(365/C28,0)</f>
        <v>78.061049630851528</v>
      </c>
      <c r="D35" s="37">
        <f t="shared" ref="D35:L35" si="9">IFERROR(365/D28,0)</f>
        <v>75.50070089363939</v>
      </c>
      <c r="E35" s="37">
        <f t="shared" si="9"/>
        <v>74.664501857576354</v>
      </c>
      <c r="F35" s="37">
        <f t="shared" si="9"/>
        <v>84.403628666465067</v>
      </c>
      <c r="G35" s="37">
        <f t="shared" si="9"/>
        <v>87.307167009945914</v>
      </c>
      <c r="H35" s="37">
        <f t="shared" si="9"/>
        <v>93.854755553786134</v>
      </c>
      <c r="I35" s="37">
        <f t="shared" si="9"/>
        <v>107.73772823307931</v>
      </c>
      <c r="J35" s="37">
        <f t="shared" si="9"/>
        <v>101.69077517425579</v>
      </c>
      <c r="K35" s="37">
        <f t="shared" si="9"/>
        <v>97.110854428320437</v>
      </c>
      <c r="L35" s="37">
        <f t="shared" si="9"/>
        <v>97.973802073746867</v>
      </c>
      <c r="N35" s="37">
        <f t="shared" si="7"/>
        <v>89.830496352166691</v>
      </c>
      <c r="O35" s="37">
        <f t="shared" si="8"/>
        <v>90.580961281866024</v>
      </c>
    </row>
    <row r="36" spans="2:15" x14ac:dyDescent="0.25">
      <c r="B36" t="s">
        <v>139</v>
      </c>
      <c r="C36" s="37">
        <f>IFERROR(365/C29,0)</f>
        <v>0</v>
      </c>
      <c r="D36" s="37">
        <f t="shared" ref="D36:L36" si="10">IFERROR(365/D29,0)</f>
        <v>0</v>
      </c>
      <c r="E36" s="37">
        <f t="shared" si="10"/>
        <v>0</v>
      </c>
      <c r="F36" s="37">
        <f t="shared" si="10"/>
        <v>0</v>
      </c>
      <c r="G36" s="37">
        <f t="shared" si="10"/>
        <v>0</v>
      </c>
      <c r="H36" s="37">
        <f t="shared" si="10"/>
        <v>0</v>
      </c>
      <c r="I36" s="37">
        <f t="shared" si="10"/>
        <v>0</v>
      </c>
      <c r="J36" s="37">
        <f t="shared" si="10"/>
        <v>0</v>
      </c>
      <c r="K36" s="37">
        <f t="shared" si="10"/>
        <v>0</v>
      </c>
      <c r="L36" s="37">
        <f t="shared" si="10"/>
        <v>0</v>
      </c>
      <c r="N36" s="37">
        <f t="shared" si="7"/>
        <v>0</v>
      </c>
      <c r="O36" s="37">
        <f t="shared" si="8"/>
        <v>0</v>
      </c>
    </row>
    <row r="37" spans="2:15" x14ac:dyDescent="0.25">
      <c r="B37" s="31" t="s">
        <v>140</v>
      </c>
      <c r="C37" s="38">
        <f>IFERROR((SUM(C34,C36)-C35),0)</f>
        <v>-11.831328774363001</v>
      </c>
      <c r="D37" s="38">
        <f t="shared" ref="D37:L37" si="11">IFERROR((SUM(D34,D36)-D35),0)</f>
        <v>-9.8279890193329749</v>
      </c>
      <c r="E37" s="38">
        <f t="shared" si="11"/>
        <v>-6.6455857746518774</v>
      </c>
      <c r="F37" s="38">
        <f t="shared" si="11"/>
        <v>-18.944239491986693</v>
      </c>
      <c r="G37" s="38">
        <f t="shared" si="11"/>
        <v>-12.985317927988447</v>
      </c>
      <c r="H37" s="38">
        <f t="shared" si="11"/>
        <v>-23.762491042280445</v>
      </c>
      <c r="I37" s="38">
        <f t="shared" si="11"/>
        <v>-39.629360166391265</v>
      </c>
      <c r="J37" s="38">
        <f t="shared" si="11"/>
        <v>-38.462937853877236</v>
      </c>
      <c r="K37" s="38">
        <f t="shared" si="11"/>
        <v>-25.395848246241954</v>
      </c>
      <c r="L37" s="38">
        <f t="shared" si="11"/>
        <v>-28.198539787717053</v>
      </c>
      <c r="M37" s="31"/>
      <c r="N37" s="38">
        <f t="shared" si="7"/>
        <v>-21.568363808483092</v>
      </c>
      <c r="O37" s="38">
        <f t="shared" si="8"/>
        <v>-21.353365267133569</v>
      </c>
    </row>
    <row r="38" spans="2:15" x14ac:dyDescent="0.25">
      <c r="N38" s="19"/>
      <c r="O38" s="19"/>
    </row>
    <row r="39" spans="2:15" x14ac:dyDescent="0.25">
      <c r="B39" s="28" t="s">
        <v>141</v>
      </c>
      <c r="C39" s="29">
        <f>IFERROR(HistoricalFS!C77/HistoricalFS!C6,0)</f>
        <v>0.12943418587146266</v>
      </c>
      <c r="D39" s="29">
        <f>IFERROR(HistoricalFS!D77/HistoricalFS!D6,0)</f>
        <v>0.13689328894340283</v>
      </c>
      <c r="E39" s="29">
        <f>IFERROR(HistoricalFS!E77/HistoricalFS!E6,0)</f>
        <v>0.18862199030089902</v>
      </c>
      <c r="F39" s="29">
        <f>IFERROR(HistoricalFS!F77/HistoricalFS!F6,0)</f>
        <v>0.17403084366495314</v>
      </c>
      <c r="G39" s="29">
        <f>IFERROR(HistoricalFS!G77/HistoricalFS!G6,0)</f>
        <v>0.161205405822163</v>
      </c>
      <c r="H39" s="29">
        <f>IFERROR(HistoricalFS!H77/HistoricalFS!H6,0)</f>
        <v>0.23879289752368818</v>
      </c>
      <c r="I39" s="29">
        <f>IFERROR(HistoricalFS!I77/HistoricalFS!I6,0)</f>
        <v>0.1846499124472834</v>
      </c>
      <c r="J39" s="29">
        <f>IFERROR(HistoricalFS!J77/HistoricalFS!J6,0)</f>
        <v>0.10985439506156015</v>
      </c>
      <c r="K39" s="29">
        <f>IFERROR(HistoricalFS!K77/HistoricalFS!K6,0)</f>
        <v>0.13098197436064293</v>
      </c>
      <c r="L39" s="29">
        <f>IFERROR(HistoricalFS!L77/HistoricalFS!L6,0)</f>
        <v>0.21718510338057551</v>
      </c>
      <c r="M39" s="28"/>
      <c r="N39" s="29">
        <f t="shared" si="7"/>
        <v>0.16716499973766311</v>
      </c>
      <c r="O39" s="29">
        <f t="shared" ref="O39:O41" si="12">IFERROR(MEDIAN(C39:L39),0)</f>
        <v>0.16761812474355808</v>
      </c>
    </row>
    <row r="40" spans="2:15" x14ac:dyDescent="0.25">
      <c r="B40" t="s">
        <v>142</v>
      </c>
      <c r="C40" s="30">
        <f>IFERROR(HistoricalFS!C77/HistoricalFS!C64,0)</f>
        <v>0.10761937734693335</v>
      </c>
      <c r="D40" s="30">
        <f>IFERROR(HistoricalFS!D77/HistoricalFS!D64,0)</f>
        <v>0.11275075768509164</v>
      </c>
      <c r="E40" s="30">
        <f>IFERROR(HistoricalFS!E77/HistoricalFS!E64,0)</f>
        <v>0.16763916369456452</v>
      </c>
      <c r="F40" s="30">
        <f>IFERROR(HistoricalFS!F77/HistoricalFS!F64,0)</f>
        <v>0.17115123831275428</v>
      </c>
      <c r="G40" s="30">
        <f>IFERROR(HistoricalFS!G77/HistoricalFS!G64,0)</f>
        <v>0.15943355119825708</v>
      </c>
      <c r="H40" s="30">
        <f>IFERROR(HistoricalFS!H77/HistoricalFS!H64,0)</f>
        <v>0.2231585605193887</v>
      </c>
      <c r="I40" s="30">
        <f>IFERROR(HistoricalFS!I77/HistoricalFS!I64,0)</f>
        <v>0.19242004985907529</v>
      </c>
      <c r="J40" s="30">
        <f>IFERROR(HistoricalFS!J77/HistoricalFS!J64,0)</f>
        <v>0.1294022280008989</v>
      </c>
      <c r="K40" s="30">
        <f>IFERROR(HistoricalFS!K77/HistoricalFS!K64,0)</f>
        <v>0.14653465346534653</v>
      </c>
      <c r="L40" s="30">
        <f>IFERROR(HistoricalFS!L77/HistoricalFS!L64,0)</f>
        <v>0.2395141919550729</v>
      </c>
      <c r="N40" s="30">
        <f t="shared" si="7"/>
        <v>0.16496237720373833</v>
      </c>
      <c r="O40" s="30">
        <f t="shared" si="12"/>
        <v>0.16353635744641082</v>
      </c>
    </row>
    <row r="41" spans="2:15" x14ac:dyDescent="0.25">
      <c r="B41" s="31" t="s">
        <v>143</v>
      </c>
      <c r="C41" s="32">
        <f>IFERROR(HistoricalFS!C77/HistoricalFS!C49,0)</f>
        <v>0</v>
      </c>
      <c r="D41" s="32">
        <f>IFERROR(HistoricalFS!D77/HistoricalFS!D49,0)</f>
        <v>0</v>
      </c>
      <c r="E41" s="32">
        <f>IFERROR(HistoricalFS!E77/HistoricalFS!E49,0)</f>
        <v>0</v>
      </c>
      <c r="F41" s="32">
        <f>IFERROR(HistoricalFS!F77/HistoricalFS!F49,0)</f>
        <v>0</v>
      </c>
      <c r="G41" s="32">
        <f>IFERROR(HistoricalFS!G77/HistoricalFS!G49,0)</f>
        <v>3.1590761925318369</v>
      </c>
      <c r="H41" s="32">
        <f>IFERROR(HistoricalFS!H77/HistoricalFS!H49,0)</f>
        <v>4.5055399061032864</v>
      </c>
      <c r="I41" s="32">
        <f>IFERROR(HistoricalFS!I77/HistoricalFS!I49,0)</f>
        <v>4.1032151991231274</v>
      </c>
      <c r="J41" s="32">
        <f>IFERROR(HistoricalFS!J77/HistoricalFS!J49,0)</f>
        <v>1.9427641884564406</v>
      </c>
      <c r="K41" s="32">
        <f>IFERROR(HistoricalFS!K77/HistoricalFS!K49,0)</f>
        <v>2.4079435339155402</v>
      </c>
      <c r="L41" s="32">
        <f>IFERROR(HistoricalFS!L77/HistoricalFS!L49,0)</f>
        <v>4.3027835176856692</v>
      </c>
      <c r="M41" s="31"/>
      <c r="N41" s="32">
        <f>IFERROR(AVERAGE(C41:L41),0)</f>
        <v>2.04213225378159</v>
      </c>
      <c r="O41" s="32">
        <f t="shared" si="12"/>
        <v>2.1753538611859904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453E1AB-2FFF-4440-BB2A-EACE2F5DF47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</x14:sparklines>
        </x14:sparklineGroup>
        <x14:sparklineGroup displayEmptyCellsAs="gap" xr2:uid="{02665B1C-BF5E-4E04-B7AF-95F678822E3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A437-CB79-410B-9433-E507BF3DFC76}">
  <dimension ref="B2:Q31"/>
  <sheetViews>
    <sheetView showGridLines="0" workbookViewId="0">
      <selection activeCell="E14" sqref="E14"/>
    </sheetView>
  </sheetViews>
  <sheetFormatPr defaultRowHeight="15" x14ac:dyDescent="0.25"/>
  <cols>
    <col min="1" max="1" width="1.85546875" customWidth="1"/>
    <col min="2" max="2" width="12" bestFit="1" customWidth="1"/>
    <col min="3" max="3" width="8" customWidth="1"/>
    <col min="4" max="4" width="18.140625" customWidth="1"/>
    <col min="5" max="5" width="13.7109375" customWidth="1"/>
    <col min="6" max="7" width="2.7109375" customWidth="1"/>
    <col min="8" max="8" width="12.85546875" customWidth="1"/>
    <col min="9" max="9" width="10" customWidth="1"/>
    <col min="10" max="10" width="14.7109375" customWidth="1"/>
    <col min="11" max="11" width="12.7109375" bestFit="1" customWidth="1"/>
    <col min="12" max="13" width="2.7109375" customWidth="1"/>
    <col min="14" max="14" width="12" bestFit="1" customWidth="1"/>
    <col min="17" max="17" width="12.7109375" bestFit="1" customWidth="1"/>
  </cols>
  <sheetData>
    <row r="2" spans="2:17" x14ac:dyDescent="0.25">
      <c r="B2" s="160" t="str">
        <f>'Data Sheet'!B1&amp;" - "&amp;'Data Sheet'!A17&amp;" Forecasting "</f>
        <v xml:space="preserve">INFOSYS LTD - Sales Forecasting </v>
      </c>
      <c r="C2" s="160"/>
      <c r="D2" s="160"/>
      <c r="E2" s="160"/>
      <c r="H2" s="160" t="str">
        <f>'Data Sheet'!B1&amp;" - "&amp;HistoricalFS!B18&amp;" Forecasting "</f>
        <v xml:space="preserve">INFOSYS LTD - EBITDA Forecasting </v>
      </c>
      <c r="I2" s="160"/>
      <c r="J2" s="160"/>
      <c r="K2" s="160"/>
      <c r="N2" s="160" t="str">
        <f>'Data Sheet'!B1&amp;" - "&amp;HistoricalFS!B38&amp;" Forecasting "</f>
        <v xml:space="preserve">INFOSYS LTD - EPS Forecasting </v>
      </c>
      <c r="O2" s="160"/>
      <c r="P2" s="160"/>
      <c r="Q2" s="160"/>
    </row>
    <row r="3" spans="2:17" x14ac:dyDescent="0.25">
      <c r="B3" s="100" t="s">
        <v>148</v>
      </c>
      <c r="C3" s="138" t="s">
        <v>149</v>
      </c>
      <c r="D3" s="137" t="s">
        <v>1</v>
      </c>
      <c r="E3" s="138" t="s">
        <v>10</v>
      </c>
      <c r="H3" s="100" t="s">
        <v>148</v>
      </c>
      <c r="I3" s="138" t="s">
        <v>149</v>
      </c>
      <c r="J3" s="137" t="s">
        <v>1</v>
      </c>
      <c r="K3" s="138" t="s">
        <v>10</v>
      </c>
      <c r="N3" s="100" t="s">
        <v>148</v>
      </c>
      <c r="O3" s="138" t="s">
        <v>149</v>
      </c>
      <c r="P3" s="137" t="s">
        <v>1</v>
      </c>
      <c r="Q3" s="138" t="s">
        <v>10</v>
      </c>
    </row>
    <row r="4" spans="2:17" x14ac:dyDescent="0.25">
      <c r="B4" s="39">
        <v>1</v>
      </c>
      <c r="C4" s="42">
        <f>'Data Sheet'!B16</f>
        <v>42460</v>
      </c>
      <c r="D4" s="44">
        <f t="array" ref="D4:D13">TRANSPOSE('Data Sheet'!B17:K17)</f>
        <v>62441</v>
      </c>
      <c r="H4" s="39">
        <v>1</v>
      </c>
      <c r="I4" s="42">
        <f>C4</f>
        <v>42460</v>
      </c>
      <c r="J4" s="44">
        <f t="array" ref="J4:J13">TRANSPOSE(HistoricalFS!C18:L18)</f>
        <v>17079</v>
      </c>
      <c r="N4" s="39">
        <v>1</v>
      </c>
      <c r="O4" s="42">
        <f>I4</f>
        <v>42460</v>
      </c>
      <c r="P4" s="44">
        <f t="array" ref="P4:P13">TRANSPOSE(HistoricalFS!C38:L38)</f>
        <v>22.571235769172162</v>
      </c>
    </row>
    <row r="5" spans="2:17" x14ac:dyDescent="0.25">
      <c r="B5" s="39">
        <f>B4+1</f>
        <v>2</v>
      </c>
      <c r="C5" s="42">
        <f>C4+365</f>
        <v>42825</v>
      </c>
      <c r="D5" s="44">
        <v>68484</v>
      </c>
      <c r="E5" s="19">
        <f>D5/D4-1</f>
        <v>9.67793597155715E-2</v>
      </c>
      <c r="H5" s="39">
        <f>H4+1</f>
        <v>2</v>
      </c>
      <c r="I5" s="42">
        <f>I4+365</f>
        <v>42825</v>
      </c>
      <c r="J5" s="44">
        <v>18604</v>
      </c>
      <c r="K5" s="19">
        <f>J5/J4-1</f>
        <v>8.9290942092628445E-2</v>
      </c>
      <c r="N5" s="39">
        <f>N4+1</f>
        <v>2</v>
      </c>
      <c r="O5" s="42">
        <f>O4+365</f>
        <v>42825</v>
      </c>
      <c r="P5" s="44">
        <v>24.604366660136268</v>
      </c>
      <c r="Q5" s="19">
        <f>P5/P4-1</f>
        <v>9.0076188639213184E-2</v>
      </c>
    </row>
    <row r="6" spans="2:17" x14ac:dyDescent="0.25">
      <c r="B6" s="39">
        <f t="shared" ref="B6:B15" si="0">B5+1</f>
        <v>3</v>
      </c>
      <c r="C6" s="42">
        <f t="shared" ref="C6:C18" si="1">C5+365</f>
        <v>43190</v>
      </c>
      <c r="D6" s="44">
        <v>70522</v>
      </c>
      <c r="E6" s="19">
        <f t="shared" ref="E6:E18" si="2">D6/D5-1</f>
        <v>2.9758775772443125E-2</v>
      </c>
      <c r="H6" s="39">
        <f t="shared" ref="H6:H18" si="3">H5+1</f>
        <v>3</v>
      </c>
      <c r="I6" s="42">
        <f t="shared" ref="I6:I18" si="4">I5+365</f>
        <v>43190</v>
      </c>
      <c r="J6" s="44">
        <v>18822</v>
      </c>
      <c r="K6" s="19">
        <f t="shared" ref="K6:K17" si="5">J6/J5-1</f>
        <v>1.1717910126854525E-2</v>
      </c>
      <c r="N6" s="39">
        <f t="shared" ref="N6:N18" si="6">N5+1</f>
        <v>3</v>
      </c>
      <c r="O6" s="42">
        <f t="shared" ref="O6:O18" si="7">O5+365</f>
        <v>43190</v>
      </c>
      <c r="P6" s="44">
        <v>29.114967263403692</v>
      </c>
      <c r="Q6" s="19">
        <f t="shared" ref="Q6:Q17" si="8">P6/P5-1</f>
        <v>0.1833252066827411</v>
      </c>
    </row>
    <row r="7" spans="2:17" x14ac:dyDescent="0.25">
      <c r="B7" s="39">
        <f t="shared" si="0"/>
        <v>4</v>
      </c>
      <c r="C7" s="42">
        <f t="shared" si="1"/>
        <v>43555</v>
      </c>
      <c r="D7" s="44">
        <v>82675</v>
      </c>
      <c r="E7" s="19">
        <f t="shared" si="2"/>
        <v>0.17232920223476356</v>
      </c>
      <c r="H7" s="39">
        <f t="shared" si="3"/>
        <v>4</v>
      </c>
      <c r="I7" s="42">
        <f t="shared" si="4"/>
        <v>43555</v>
      </c>
      <c r="J7" s="44">
        <v>20170</v>
      </c>
      <c r="K7" s="19">
        <f t="shared" si="5"/>
        <v>7.1618318988417862E-2</v>
      </c>
      <c r="N7" s="39">
        <f t="shared" si="6"/>
        <v>4</v>
      </c>
      <c r="O7" s="42">
        <f t="shared" si="7"/>
        <v>43555</v>
      </c>
      <c r="P7" s="44">
        <v>28.6754102863421</v>
      </c>
      <c r="Q7" s="19">
        <f t="shared" si="8"/>
        <v>-1.5097285636109792E-2</v>
      </c>
    </row>
    <row r="8" spans="2:17" x14ac:dyDescent="0.25">
      <c r="B8" s="39">
        <f t="shared" si="0"/>
        <v>5</v>
      </c>
      <c r="C8" s="42">
        <f t="shared" si="1"/>
        <v>43920</v>
      </c>
      <c r="D8" s="44">
        <v>90791</v>
      </c>
      <c r="E8" s="19">
        <f t="shared" si="2"/>
        <v>9.8167523435137571E-2</v>
      </c>
      <c r="H8" s="39">
        <f t="shared" si="3"/>
        <v>5</v>
      </c>
      <c r="I8" s="42">
        <f t="shared" si="4"/>
        <v>43920</v>
      </c>
      <c r="J8" s="44">
        <v>22267</v>
      </c>
      <c r="K8" s="19">
        <f t="shared" si="5"/>
        <v>0.10396628656420437</v>
      </c>
      <c r="N8" s="39">
        <f t="shared" si="6"/>
        <v>5</v>
      </c>
      <c r="O8" s="42">
        <f t="shared" si="7"/>
        <v>43920</v>
      </c>
      <c r="P8" s="44">
        <v>32.486499178210849</v>
      </c>
      <c r="Q8" s="19">
        <f t="shared" si="8"/>
        <v>0.13290442416734827</v>
      </c>
    </row>
    <row r="9" spans="2:17" x14ac:dyDescent="0.25">
      <c r="B9" s="39">
        <f t="shared" si="0"/>
        <v>6</v>
      </c>
      <c r="C9" s="42">
        <f t="shared" si="1"/>
        <v>44285</v>
      </c>
      <c r="D9" s="44">
        <v>100472</v>
      </c>
      <c r="E9" s="19">
        <f t="shared" si="2"/>
        <v>0.10662951173574475</v>
      </c>
      <c r="H9" s="39">
        <f t="shared" si="3"/>
        <v>6</v>
      </c>
      <c r="I9" s="42">
        <f t="shared" si="4"/>
        <v>44285</v>
      </c>
      <c r="J9" s="44">
        <v>27889</v>
      </c>
      <c r="K9" s="19">
        <f t="shared" si="5"/>
        <v>0.25248125028068436</v>
      </c>
      <c r="N9" s="39">
        <f t="shared" si="6"/>
        <v>6</v>
      </c>
      <c r="O9" s="42">
        <f t="shared" si="7"/>
        <v>44285</v>
      </c>
      <c r="P9" s="44">
        <v>40.420588166263762</v>
      </c>
      <c r="Q9" s="19">
        <f t="shared" si="8"/>
        <v>0.24422726944288353</v>
      </c>
    </row>
    <row r="10" spans="2:17" x14ac:dyDescent="0.25">
      <c r="B10" s="39">
        <f t="shared" si="0"/>
        <v>7</v>
      </c>
      <c r="C10" s="42">
        <f t="shared" si="1"/>
        <v>44650</v>
      </c>
      <c r="D10" s="44">
        <v>121641</v>
      </c>
      <c r="E10" s="19">
        <f t="shared" si="2"/>
        <v>0.21069551715900947</v>
      </c>
      <c r="H10" s="39">
        <f t="shared" si="3"/>
        <v>7</v>
      </c>
      <c r="I10" s="42">
        <f t="shared" si="4"/>
        <v>44650</v>
      </c>
      <c r="J10" s="44">
        <v>31491</v>
      </c>
      <c r="K10" s="19">
        <f t="shared" si="5"/>
        <v>0.12915486392484499</v>
      </c>
      <c r="N10" s="39">
        <f t="shared" si="6"/>
        <v>7</v>
      </c>
      <c r="O10" s="42">
        <f t="shared" si="7"/>
        <v>44650</v>
      </c>
      <c r="P10" s="44">
        <v>47.189008011030019</v>
      </c>
      <c r="Q10" s="19">
        <f t="shared" si="8"/>
        <v>0.16744981089650213</v>
      </c>
    </row>
    <row r="11" spans="2:17" x14ac:dyDescent="0.25">
      <c r="B11" s="39">
        <f t="shared" si="0"/>
        <v>8</v>
      </c>
      <c r="C11" s="42">
        <f t="shared" si="1"/>
        <v>45015</v>
      </c>
      <c r="D11" s="44">
        <v>146767</v>
      </c>
      <c r="E11" s="19">
        <f t="shared" si="2"/>
        <v>0.20655864387829759</v>
      </c>
      <c r="H11" s="39">
        <f t="shared" si="3"/>
        <v>8</v>
      </c>
      <c r="I11" s="42">
        <f t="shared" si="4"/>
        <v>45015</v>
      </c>
      <c r="J11" s="44">
        <v>35130</v>
      </c>
      <c r="K11" s="19">
        <f t="shared" si="5"/>
        <v>0.1155568257597408</v>
      </c>
      <c r="N11" s="39">
        <f t="shared" si="6"/>
        <v>8</v>
      </c>
      <c r="O11" s="42">
        <f t="shared" si="7"/>
        <v>45015</v>
      </c>
      <c r="P11" s="44">
        <v>51.600539941184977</v>
      </c>
      <c r="Q11" s="19">
        <f t="shared" si="8"/>
        <v>9.3486430762091954E-2</v>
      </c>
    </row>
    <row r="12" spans="2:17" x14ac:dyDescent="0.25">
      <c r="B12" s="39">
        <f t="shared" si="0"/>
        <v>9</v>
      </c>
      <c r="C12" s="42">
        <f t="shared" si="1"/>
        <v>45380</v>
      </c>
      <c r="D12" s="44">
        <v>153670</v>
      </c>
      <c r="E12" s="19">
        <f t="shared" si="2"/>
        <v>4.7033733741236095E-2</v>
      </c>
      <c r="H12" s="39">
        <f t="shared" si="3"/>
        <v>9</v>
      </c>
      <c r="I12" s="42">
        <f t="shared" si="4"/>
        <v>45380</v>
      </c>
      <c r="J12" s="44">
        <v>36425</v>
      </c>
      <c r="K12" s="19">
        <f t="shared" si="5"/>
        <v>3.6863079988613823E-2</v>
      </c>
      <c r="N12" s="39">
        <f t="shared" si="6"/>
        <v>9</v>
      </c>
      <c r="O12" s="42">
        <f t="shared" si="7"/>
        <v>45380</v>
      </c>
      <c r="P12" s="44">
        <v>51.885133344575877</v>
      </c>
      <c r="Q12" s="19">
        <f t="shared" si="8"/>
        <v>5.5153183225462588E-3</v>
      </c>
    </row>
    <row r="13" spans="2:17" x14ac:dyDescent="0.25">
      <c r="B13" s="39">
        <f t="shared" si="0"/>
        <v>10</v>
      </c>
      <c r="C13" s="42">
        <f t="shared" si="1"/>
        <v>45745</v>
      </c>
      <c r="D13" s="44">
        <v>162990</v>
      </c>
      <c r="E13" s="19">
        <f t="shared" si="2"/>
        <v>6.0649443612936782E-2</v>
      </c>
      <c r="H13" s="39">
        <f t="shared" si="3"/>
        <v>10</v>
      </c>
      <c r="I13" s="42">
        <f t="shared" si="4"/>
        <v>45745</v>
      </c>
      <c r="J13" s="44">
        <v>39236</v>
      </c>
      <c r="K13" s="19">
        <f t="shared" si="5"/>
        <v>7.7172271791352109E-2</v>
      </c>
      <c r="N13" s="39">
        <f t="shared" si="6"/>
        <v>10</v>
      </c>
      <c r="O13" s="42">
        <f t="shared" si="7"/>
        <v>45745</v>
      </c>
      <c r="P13" s="44">
        <v>55.738810102809815</v>
      </c>
      <c r="Q13" s="19">
        <f t="shared" si="8"/>
        <v>7.4273236085588668E-2</v>
      </c>
    </row>
    <row r="14" spans="2:17" x14ac:dyDescent="0.25">
      <c r="B14" s="45">
        <f t="shared" si="0"/>
        <v>11</v>
      </c>
      <c r="C14" s="46">
        <f t="shared" si="1"/>
        <v>46110</v>
      </c>
      <c r="D14" s="47">
        <f>FORECAST(B14,$D$4:$D$13,$B$4:$B$13)</f>
        <v>173013.53333333333</v>
      </c>
      <c r="E14" s="48">
        <f>D14/D13-1</f>
        <v>6.1497842403419378E-2</v>
      </c>
      <c r="H14" s="45">
        <f t="shared" si="3"/>
        <v>11</v>
      </c>
      <c r="I14" s="46">
        <f t="shared" si="4"/>
        <v>46110</v>
      </c>
      <c r="J14" s="47">
        <f>FORECAST(H14,$J$4:$J$13,$H$4:$H$13)</f>
        <v>41554.133333333331</v>
      </c>
      <c r="K14" s="48">
        <f>J14/J13-1</f>
        <v>5.9081795629863709E-2</v>
      </c>
      <c r="N14" s="45">
        <f t="shared" si="6"/>
        <v>11</v>
      </c>
      <c r="O14" s="46">
        <f t="shared" si="7"/>
        <v>46110</v>
      </c>
      <c r="P14" s="47">
        <f>FORECAST(N14,$P$4:$P$13,$N$4:$N$13)</f>
        <v>60.607865250474262</v>
      </c>
      <c r="Q14" s="48">
        <f>P14/P13-1</f>
        <v>8.7354845549869387E-2</v>
      </c>
    </row>
    <row r="15" spans="2:17" x14ac:dyDescent="0.25">
      <c r="B15" s="45">
        <f t="shared" si="0"/>
        <v>12</v>
      </c>
      <c r="C15" s="46">
        <f t="shared" si="1"/>
        <v>46475</v>
      </c>
      <c r="D15" s="47">
        <f t="shared" ref="D15:D18" si="9">FORECAST(B15,$D$4:$D$13,$B$4:$B$13)</f>
        <v>185189.57575757575</v>
      </c>
      <c r="E15" s="48">
        <f t="shared" si="2"/>
        <v>7.0376242769307984E-2</v>
      </c>
      <c r="H15" s="45">
        <f t="shared" si="3"/>
        <v>12</v>
      </c>
      <c r="I15" s="46">
        <f t="shared" si="4"/>
        <v>46475</v>
      </c>
      <c r="J15" s="47">
        <f t="shared" ref="J15:J17" si="10">FORECAST(H15,$J$4:$J$13,$H$4:$H$13)</f>
        <v>44252.8303030303</v>
      </c>
      <c r="K15" s="48">
        <f t="shared" si="5"/>
        <v>6.4944128374641474E-2</v>
      </c>
      <c r="N15" s="45">
        <f t="shared" si="6"/>
        <v>12</v>
      </c>
      <c r="O15" s="46">
        <f t="shared" si="7"/>
        <v>46475</v>
      </c>
      <c r="P15" s="47">
        <f t="shared" ref="P15:P17" si="11">FORECAST(N15,$P$4:$P$13,$N$4:$N$13)</f>
        <v>64.640448773776313</v>
      </c>
      <c r="Q15" s="48">
        <f t="shared" si="8"/>
        <v>6.6535646926955572E-2</v>
      </c>
    </row>
    <row r="16" spans="2:17" x14ac:dyDescent="0.25">
      <c r="B16" s="45">
        <f t="shared" ref="B16:B18" si="12">B15+1</f>
        <v>13</v>
      </c>
      <c r="C16" s="46">
        <f t="shared" si="1"/>
        <v>46840</v>
      </c>
      <c r="D16" s="47">
        <f t="shared" si="9"/>
        <v>197365.61818181816</v>
      </c>
      <c r="E16" s="48">
        <f t="shared" si="2"/>
        <v>6.5749070240225471E-2</v>
      </c>
      <c r="H16" s="45">
        <f t="shared" si="3"/>
        <v>13</v>
      </c>
      <c r="I16" s="46">
        <f t="shared" si="4"/>
        <v>46840</v>
      </c>
      <c r="J16" s="47">
        <f t="shared" si="10"/>
        <v>46951.527272727268</v>
      </c>
      <c r="K16" s="48">
        <f t="shared" si="5"/>
        <v>6.0983601528243225E-2</v>
      </c>
      <c r="N16" s="45">
        <f t="shared" si="6"/>
        <v>13</v>
      </c>
      <c r="O16" s="46">
        <f t="shared" si="7"/>
        <v>46840</v>
      </c>
      <c r="P16" s="47">
        <f t="shared" si="11"/>
        <v>68.673032297078365</v>
      </c>
      <c r="Q16" s="48">
        <f t="shared" si="8"/>
        <v>6.2384831785666783E-2</v>
      </c>
    </row>
    <row r="17" spans="2:17" x14ac:dyDescent="0.25">
      <c r="B17" s="45">
        <f t="shared" si="12"/>
        <v>14</v>
      </c>
      <c r="C17" s="46">
        <f t="shared" si="1"/>
        <v>47205</v>
      </c>
      <c r="D17" s="47">
        <f t="shared" si="9"/>
        <v>209541.66060606064</v>
      </c>
      <c r="E17" s="48">
        <f t="shared" si="2"/>
        <v>6.1692824395714219E-2</v>
      </c>
      <c r="H17" s="45">
        <f t="shared" si="3"/>
        <v>14</v>
      </c>
      <c r="I17" s="46">
        <f t="shared" si="4"/>
        <v>47205</v>
      </c>
      <c r="J17" s="47">
        <f t="shared" si="10"/>
        <v>49650.224242424243</v>
      </c>
      <c r="K17" s="48">
        <f t="shared" si="5"/>
        <v>5.7478363888379125E-2</v>
      </c>
      <c r="N17" s="45">
        <f t="shared" si="6"/>
        <v>14</v>
      </c>
      <c r="O17" s="46">
        <f t="shared" si="7"/>
        <v>47205</v>
      </c>
      <c r="P17" s="47">
        <f t="shared" si="11"/>
        <v>72.70561582038043</v>
      </c>
      <c r="Q17" s="48">
        <f t="shared" si="8"/>
        <v>5.8721500833939899E-2</v>
      </c>
    </row>
    <row r="18" spans="2:17" x14ac:dyDescent="0.25">
      <c r="B18" s="45">
        <f t="shared" si="12"/>
        <v>15</v>
      </c>
      <c r="C18" s="46">
        <f t="shared" si="1"/>
        <v>47570</v>
      </c>
      <c r="D18" s="47">
        <f t="shared" si="9"/>
        <v>221717.70303030306</v>
      </c>
      <c r="E18" s="48">
        <f t="shared" si="2"/>
        <v>5.8107979048297453E-2</v>
      </c>
      <c r="H18" s="45">
        <f t="shared" si="3"/>
        <v>15</v>
      </c>
      <c r="I18" s="46">
        <f t="shared" si="4"/>
        <v>47570</v>
      </c>
      <c r="J18" s="47">
        <f>FORECAST(H18,$J$4:$J$13,$H$4:$H$13)</f>
        <v>52348.921212121211</v>
      </c>
      <c r="K18" s="48">
        <f>J18/J17-1</f>
        <v>5.4354174847634162E-2</v>
      </c>
      <c r="N18" s="45">
        <f t="shared" si="6"/>
        <v>15</v>
      </c>
      <c r="O18" s="46">
        <f t="shared" si="7"/>
        <v>47570</v>
      </c>
      <c r="P18" s="47">
        <f>FORECAST(N18,$P$4:$P$13,$N$4:$N$13)</f>
        <v>76.738199343682481</v>
      </c>
      <c r="Q18" s="48">
        <f>P18/P17-1</f>
        <v>5.5464539813053326E-2</v>
      </c>
    </row>
    <row r="19" spans="2:17" x14ac:dyDescent="0.25">
      <c r="B19" s="39"/>
      <c r="C19" s="43"/>
      <c r="D19" s="44"/>
      <c r="E19" s="19"/>
    </row>
    <row r="20" spans="2:17" x14ac:dyDescent="0.25">
      <c r="B20" s="39"/>
      <c r="C20" s="43"/>
      <c r="D20" s="44"/>
      <c r="E20" s="19"/>
    </row>
    <row r="22" spans="2:17" x14ac:dyDescent="0.25">
      <c r="B22" s="41" t="s">
        <v>154</v>
      </c>
    </row>
    <row r="27" spans="2:17" x14ac:dyDescent="0.25">
      <c r="B27" s="41" t="s">
        <v>153</v>
      </c>
    </row>
    <row r="28" spans="2:17" x14ac:dyDescent="0.25">
      <c r="B28" t="s">
        <v>150</v>
      </c>
      <c r="D28" s="40">
        <f>AVERAGE(E5:E13)</f>
        <v>0.11428907903168227</v>
      </c>
    </row>
    <row r="29" spans="2:17" x14ac:dyDescent="0.25">
      <c r="B29" t="s">
        <v>151</v>
      </c>
      <c r="D29" s="19">
        <f>_xlfn.RRI(B13,D4,D13)</f>
        <v>0.10070036629823909</v>
      </c>
    </row>
    <row r="31" spans="2:17" x14ac:dyDescent="0.25">
      <c r="B31" t="s">
        <v>152</v>
      </c>
      <c r="D31" s="19">
        <f>_xlfn.STDEV.S(E5:E13)</f>
        <v>6.7405079310135521E-2</v>
      </c>
    </row>
  </sheetData>
  <mergeCells count="3">
    <mergeCell ref="B2:E2"/>
    <mergeCell ref="H2:K2"/>
    <mergeCell ref="N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DA06-DD93-4AA7-9DE1-2ECC3A52DFE7}">
  <dimension ref="A2:L40"/>
  <sheetViews>
    <sheetView showGridLines="0" zoomScaleNormal="100" workbookViewId="0">
      <selection activeCell="B8" sqref="B8"/>
    </sheetView>
  </sheetViews>
  <sheetFormatPr defaultRowHeight="15" x14ac:dyDescent="0.25"/>
  <cols>
    <col min="1" max="1" width="1.85546875" customWidth="1"/>
    <col min="2" max="2" width="20.28515625" customWidth="1"/>
    <col min="3" max="3" width="9.85546875" bestFit="1" customWidth="1"/>
  </cols>
  <sheetData>
    <row r="2" spans="1:12" x14ac:dyDescent="0.25">
      <c r="A2" t="s">
        <v>56</v>
      </c>
      <c r="B2" s="159" t="str">
        <f>"Common Size Income Statement"&amp;" "&amp;"- "&amp;'Data Sheet'!$B$1</f>
        <v>Common Size Income Statement - INFOSYS LTD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4" spans="1:12" x14ac:dyDescent="0.25">
      <c r="B4" s="94" t="s">
        <v>265</v>
      </c>
      <c r="C4" s="95">
        <f>'Data Sheet'!B16</f>
        <v>42460</v>
      </c>
      <c r="D4" s="95">
        <f>'Data Sheet'!C16</f>
        <v>42825</v>
      </c>
      <c r="E4" s="95">
        <f>'Data Sheet'!D16</f>
        <v>43190</v>
      </c>
      <c r="F4" s="95">
        <f>'Data Sheet'!E16</f>
        <v>43555</v>
      </c>
      <c r="G4" s="95">
        <f>'Data Sheet'!F16</f>
        <v>43921</v>
      </c>
      <c r="H4" s="95">
        <f>'Data Sheet'!G16</f>
        <v>44286</v>
      </c>
      <c r="I4" s="95">
        <f>'Data Sheet'!H16</f>
        <v>44651</v>
      </c>
      <c r="J4" s="95">
        <f>'Data Sheet'!I16</f>
        <v>45016</v>
      </c>
      <c r="K4" s="95">
        <f>'Data Sheet'!J16</f>
        <v>45382</v>
      </c>
      <c r="L4" s="95">
        <f>'Data Sheet'!K16</f>
        <v>45747</v>
      </c>
    </row>
    <row r="6" spans="1:12" x14ac:dyDescent="0.25">
      <c r="B6" s="97" t="str">
        <f>'Data Sheet'!A17</f>
        <v>Sales</v>
      </c>
      <c r="C6" s="98">
        <f>'Data Sheet'!B17/'Data Sheet'!B$17</f>
        <v>1</v>
      </c>
      <c r="D6" s="98">
        <f>'Data Sheet'!C17/'Data Sheet'!C$17</f>
        <v>1</v>
      </c>
      <c r="E6" s="98">
        <f>'Data Sheet'!D17/'Data Sheet'!D$17</f>
        <v>1</v>
      </c>
      <c r="F6" s="98">
        <f>'Data Sheet'!E17/'Data Sheet'!E$17</f>
        <v>1</v>
      </c>
      <c r="G6" s="98">
        <f>'Data Sheet'!F17/'Data Sheet'!F$17</f>
        <v>1</v>
      </c>
      <c r="H6" s="98">
        <f>'Data Sheet'!G17/'Data Sheet'!G$17</f>
        <v>1</v>
      </c>
      <c r="I6" s="98">
        <f>'Data Sheet'!H17/'Data Sheet'!H$17</f>
        <v>1</v>
      </c>
      <c r="J6" s="98">
        <f>'Data Sheet'!I17/'Data Sheet'!I$17</f>
        <v>1</v>
      </c>
      <c r="K6" s="98">
        <f>'Data Sheet'!J17/'Data Sheet'!J$17</f>
        <v>1</v>
      </c>
      <c r="L6" s="98">
        <f>'Data Sheet'!K17/'Data Sheet'!K$17</f>
        <v>1</v>
      </c>
    </row>
    <row r="7" spans="1:12" x14ac:dyDescent="0.25">
      <c r="B7" s="96" t="str">
        <f>'Data Sheet'!A18</f>
        <v>Raw Material Cost</v>
      </c>
      <c r="C7" s="19">
        <f>'Data Sheet'!B18/'Data Sheet'!B$17</f>
        <v>0</v>
      </c>
      <c r="D7" s="19">
        <f>'Data Sheet'!C18/'Data Sheet'!C$17</f>
        <v>0</v>
      </c>
      <c r="E7" s="19">
        <f>'Data Sheet'!D18/'Data Sheet'!D$17</f>
        <v>0</v>
      </c>
      <c r="F7" s="19">
        <f>'Data Sheet'!E18/'Data Sheet'!E$17</f>
        <v>0</v>
      </c>
      <c r="G7" s="19">
        <f>'Data Sheet'!F18/'Data Sheet'!F$17</f>
        <v>0</v>
      </c>
      <c r="H7" s="19">
        <f>'Data Sheet'!G18/'Data Sheet'!G$17</f>
        <v>0</v>
      </c>
      <c r="I7" s="19">
        <f>'Data Sheet'!H18/'Data Sheet'!H$17</f>
        <v>0</v>
      </c>
      <c r="J7" s="19">
        <f>'Data Sheet'!I18/'Data Sheet'!I$17</f>
        <v>0</v>
      </c>
      <c r="K7" s="19">
        <f>'Data Sheet'!J18/'Data Sheet'!J$17</f>
        <v>0</v>
      </c>
      <c r="L7" s="19">
        <f>'Data Sheet'!K18/'Data Sheet'!K$17</f>
        <v>0</v>
      </c>
    </row>
    <row r="8" spans="1:12" x14ac:dyDescent="0.25">
      <c r="B8" s="96" t="str">
        <f>'Data Sheet'!A19</f>
        <v>Change in Inventory</v>
      </c>
      <c r="C8" s="19">
        <f>'Data Sheet'!B19/'Data Sheet'!B$17</f>
        <v>0</v>
      </c>
      <c r="D8" s="19">
        <f>'Data Sheet'!C19/'Data Sheet'!C$17</f>
        <v>0</v>
      </c>
      <c r="E8" s="19">
        <f>'Data Sheet'!D19/'Data Sheet'!D$17</f>
        <v>0</v>
      </c>
      <c r="F8" s="19">
        <f>'Data Sheet'!E19/'Data Sheet'!E$17</f>
        <v>0</v>
      </c>
      <c r="G8" s="19">
        <f>'Data Sheet'!F19/'Data Sheet'!F$17</f>
        <v>0</v>
      </c>
      <c r="H8" s="19">
        <f>'Data Sheet'!G19/'Data Sheet'!G$17</f>
        <v>0</v>
      </c>
      <c r="I8" s="19">
        <f>'Data Sheet'!H19/'Data Sheet'!H$17</f>
        <v>0</v>
      </c>
      <c r="J8" s="19">
        <f>'Data Sheet'!I19/'Data Sheet'!I$17</f>
        <v>0</v>
      </c>
      <c r="K8" s="19">
        <f>'Data Sheet'!J19/'Data Sheet'!J$17</f>
        <v>0</v>
      </c>
      <c r="L8" s="19">
        <f>'Data Sheet'!K19/'Data Sheet'!K$17</f>
        <v>0</v>
      </c>
    </row>
    <row r="9" spans="1:12" x14ac:dyDescent="0.25">
      <c r="B9" s="96" t="str">
        <f>'Data Sheet'!A20</f>
        <v>Power and Fuel</v>
      </c>
      <c r="C9" s="19">
        <f>'Data Sheet'!B20/'Data Sheet'!B$17</f>
        <v>3.4752806649477105E-3</v>
      </c>
      <c r="D9" s="19">
        <f>'Data Sheet'!C20/'Data Sheet'!C$17</f>
        <v>3.3292447871035571E-3</v>
      </c>
      <c r="E9" s="19">
        <f>'Data Sheet'!D20/'Data Sheet'!D$17</f>
        <v>2.9352542469016762E-3</v>
      </c>
      <c r="F9" s="19">
        <f>'Data Sheet'!E20/'Data Sheet'!E$17</f>
        <v>2.6731176292712428E-3</v>
      </c>
      <c r="G9" s="19">
        <f>'Data Sheet'!F20/'Data Sheet'!F$17</f>
        <v>2.5222764370917824E-3</v>
      </c>
      <c r="H9" s="19">
        <f>'Data Sheet'!G20/'Data Sheet'!G$17</f>
        <v>1.4232821084481249E-3</v>
      </c>
      <c r="I9" s="19">
        <f>'Data Sheet'!H20/'Data Sheet'!H$17</f>
        <v>1.0851604311046439E-3</v>
      </c>
      <c r="J9" s="19">
        <f>'Data Sheet'!I20/'Data Sheet'!I$17</f>
        <v>1.1991796521016304E-3</v>
      </c>
      <c r="K9" s="19">
        <f>'Data Sheet'!J20/'Data Sheet'!J$17</f>
        <v>1.2949827552547668E-3</v>
      </c>
      <c r="L9" s="19">
        <f>'Data Sheet'!K20/'Data Sheet'!K$17</f>
        <v>1.3620467513344376E-3</v>
      </c>
    </row>
    <row r="10" spans="1:12" x14ac:dyDescent="0.25">
      <c r="B10" s="96" t="str">
        <f>'Data Sheet'!A21</f>
        <v>Other Mfr. Exp</v>
      </c>
      <c r="C10" s="19">
        <f>'Data Sheet'!B21/'Data Sheet'!B$17</f>
        <v>9.3848593071859832E-2</v>
      </c>
      <c r="D10" s="19">
        <f>'Data Sheet'!C21/'Data Sheet'!C$17</f>
        <v>9.8008293908066119E-2</v>
      </c>
      <c r="E10" s="19">
        <f>'Data Sheet'!D21/'Data Sheet'!D$17</f>
        <v>0.1033152775020561</v>
      </c>
      <c r="F10" s="19">
        <f>'Data Sheet'!E21/'Data Sheet'!E$17</f>
        <v>0.11977018445721198</v>
      </c>
      <c r="G10" s="19">
        <f>'Data Sheet'!F21/'Data Sheet'!F$17</f>
        <v>0.12210461389344759</v>
      </c>
      <c r="H10" s="19">
        <f>'Data Sheet'!G21/'Data Sheet'!G$17</f>
        <v>0.12739867823871329</v>
      </c>
      <c r="I10" s="19">
        <f>'Data Sheet'!H21/'Data Sheet'!H$17</f>
        <v>0.17009067666329608</v>
      </c>
      <c r="J10" s="19">
        <f>'Data Sheet'!I21/'Data Sheet'!I$17</f>
        <v>0.17940000136270415</v>
      </c>
      <c r="K10" s="19">
        <f>'Data Sheet'!J21/'Data Sheet'!J$17</f>
        <v>0.17697013079976573</v>
      </c>
      <c r="L10" s="19">
        <f>'Data Sheet'!K21/'Data Sheet'!K$17</f>
        <v>0.18648383336401006</v>
      </c>
    </row>
    <row r="11" spans="1:12" x14ac:dyDescent="0.25">
      <c r="B11" s="96" t="str">
        <f>'Data Sheet'!A22</f>
        <v>Employee Cost</v>
      </c>
      <c r="C11" s="19">
        <f>'Data Sheet'!B22/'Data Sheet'!B$17</f>
        <v>0.55116029531878097</v>
      </c>
      <c r="D11" s="19">
        <f>'Data Sheet'!C22/'Data Sheet'!C$17</f>
        <v>0.55004088546229779</v>
      </c>
      <c r="E11" s="19">
        <f>'Data Sheet'!D22/'Data Sheet'!D$17</f>
        <v>0.5516292788066135</v>
      </c>
      <c r="F11" s="19">
        <f>'Data Sheet'!E22/'Data Sheet'!E$17</f>
        <v>0.54820683398850922</v>
      </c>
      <c r="G11" s="19">
        <f>'Data Sheet'!F22/'Data Sheet'!F$17</f>
        <v>0.5605731845667522</v>
      </c>
      <c r="H11" s="19">
        <f>'Data Sheet'!G22/'Data Sheet'!G$17</f>
        <v>0.55286049844732865</v>
      </c>
      <c r="I11" s="19">
        <f>'Data Sheet'!H22/'Data Sheet'!H$17</f>
        <v>0.52611372810154466</v>
      </c>
      <c r="J11" s="19">
        <f>'Data Sheet'!I22/'Data Sheet'!I$17</f>
        <v>0.53400287530575674</v>
      </c>
      <c r="K11" s="19">
        <f>'Data Sheet'!J22/'Data Sheet'!J$17</f>
        <v>0.53774972343333116</v>
      </c>
      <c r="L11" s="19">
        <f>'Data Sheet'!K22/'Data Sheet'!K$17</f>
        <v>0.52744340143567092</v>
      </c>
    </row>
    <row r="12" spans="1:12" x14ac:dyDescent="0.25">
      <c r="B12" s="96" t="str">
        <f>'Data Sheet'!A23</f>
        <v>Selling and admin</v>
      </c>
      <c r="C12" s="19">
        <f>'Data Sheet'!B23/'Data Sheet'!B$17</f>
        <v>7.1123140244390703E-2</v>
      </c>
      <c r="D12" s="19">
        <f>'Data Sheet'!C23/'Data Sheet'!C$17</f>
        <v>6.6935342561766253E-2</v>
      </c>
      <c r="E12" s="19">
        <f>'Data Sheet'!D23/'Data Sheet'!D$17</f>
        <v>6.5015172570261764E-2</v>
      </c>
      <c r="F12" s="19">
        <f>'Data Sheet'!E23/'Data Sheet'!E$17</f>
        <v>6.7166616268521315E-2</v>
      </c>
      <c r="G12" s="19">
        <f>'Data Sheet'!F23/'Data Sheet'!F$17</f>
        <v>5.9201903272350781E-2</v>
      </c>
      <c r="H12" s="19">
        <f>'Data Sheet'!G23/'Data Sheet'!G$17</f>
        <v>3.1789951429253921E-2</v>
      </c>
      <c r="I12" s="19">
        <f>'Data Sheet'!H23/'Data Sheet'!H$17</f>
        <v>3.5391027696253727E-2</v>
      </c>
      <c r="J12" s="19">
        <f>'Data Sheet'!I23/'Data Sheet'!I$17</f>
        <v>3.6111659978060463E-2</v>
      </c>
      <c r="K12" s="19">
        <f>'Data Sheet'!J23/'Data Sheet'!J$17</f>
        <v>3.712500813431379E-2</v>
      </c>
      <c r="L12" s="19">
        <f>'Data Sheet'!K23/'Data Sheet'!K$17</f>
        <v>3.7051352843732746E-2</v>
      </c>
    </row>
    <row r="13" spans="1:12" x14ac:dyDescent="0.25">
      <c r="B13" s="96" t="str">
        <f>'Data Sheet'!A24</f>
        <v>Other Expenses</v>
      </c>
      <c r="C13" s="19">
        <f>'Data Sheet'!B24/'Data Sheet'!B$17</f>
        <v>6.8704857385371793E-3</v>
      </c>
      <c r="D13" s="19">
        <f>'Data Sheet'!C24/'Data Sheet'!C$17</f>
        <v>1.0031540213772561E-2</v>
      </c>
      <c r="E13" s="19">
        <f>'Data Sheet'!D24/'Data Sheet'!D$17</f>
        <v>1.0209579989223221E-2</v>
      </c>
      <c r="F13" s="19">
        <f>'Data Sheet'!E24/'Data Sheet'!E$17</f>
        <v>1.8215905654671908E-2</v>
      </c>
      <c r="G13" s="19">
        <f>'Data Sheet'!F24/'Data Sheet'!F$17</f>
        <v>1.0342434822834862E-2</v>
      </c>
      <c r="H13" s="19">
        <f>'Data Sheet'!G24/'Data Sheet'!G$17</f>
        <v>8.9477665419221281E-3</v>
      </c>
      <c r="I13" s="19">
        <f>'Data Sheet'!H24/'Data Sheet'!H$17</f>
        <v>8.4346560781315503E-3</v>
      </c>
      <c r="J13" s="19">
        <f>'Data Sheet'!I24/'Data Sheet'!I$17</f>
        <v>9.9272997335913393E-3</v>
      </c>
      <c r="K13" s="19">
        <f>'Data Sheet'!J24/'Data Sheet'!J$17</f>
        <v>9.8262510574607925E-3</v>
      </c>
      <c r="L13" s="19">
        <f>'Data Sheet'!K24/'Data Sheet'!K$17</f>
        <v>6.9329406712068222E-3</v>
      </c>
    </row>
    <row r="14" spans="1:12" x14ac:dyDescent="0.25">
      <c r="B14" s="96" t="str">
        <f>'Data Sheet'!A25</f>
        <v>Other Income</v>
      </c>
      <c r="C14" s="19">
        <f>'Data Sheet'!B25/'Data Sheet'!B$17</f>
        <v>4.9967169007543118E-2</v>
      </c>
      <c r="D14" s="19">
        <f>'Data Sheet'!C25/'Data Sheet'!C$17</f>
        <v>4.4535950002920391E-2</v>
      </c>
      <c r="E14" s="19">
        <f>'Data Sheet'!D25/'Data Sheet'!D$17</f>
        <v>4.6949887978219564E-2</v>
      </c>
      <c r="F14" s="19">
        <f>'Data Sheet'!E25/'Data Sheet'!E$17</f>
        <v>3.4859389174478381E-2</v>
      </c>
      <c r="G14" s="19">
        <f>'Data Sheet'!F25/'Data Sheet'!F$17</f>
        <v>3.0873104162306837E-2</v>
      </c>
      <c r="H14" s="19">
        <f>'Data Sheet'!G25/'Data Sheet'!G$17</f>
        <v>2.1906600844016244E-2</v>
      </c>
      <c r="I14" s="19">
        <f>'Data Sheet'!H25/'Data Sheet'!H$17</f>
        <v>1.886699385897847E-2</v>
      </c>
      <c r="J14" s="19">
        <f>'Data Sheet'!I25/'Data Sheet'!I$17</f>
        <v>1.8403319547309682E-2</v>
      </c>
      <c r="K14" s="19">
        <f>'Data Sheet'!J25/'Data Sheet'!J$17</f>
        <v>3.0656601809071388E-2</v>
      </c>
      <c r="L14" s="19">
        <f>'Data Sheet'!K25/'Data Sheet'!K$17</f>
        <v>2.2087244616234125E-2</v>
      </c>
    </row>
    <row r="15" spans="1:12" x14ac:dyDescent="0.25">
      <c r="B15" s="96" t="str">
        <f>'Data Sheet'!A26</f>
        <v>Depreciation</v>
      </c>
      <c r="C15" s="19">
        <f>'Data Sheet'!B26/'Data Sheet'!B$17</f>
        <v>2.3366057558335068E-2</v>
      </c>
      <c r="D15" s="19">
        <f>'Data Sheet'!C26/'Data Sheet'!C$17</f>
        <v>2.4867122247532271E-2</v>
      </c>
      <c r="E15" s="19">
        <f>'Data Sheet'!D26/'Data Sheet'!D$17</f>
        <v>2.6417288222115084E-2</v>
      </c>
      <c r="F15" s="19">
        <f>'Data Sheet'!E26/'Data Sheet'!E$17</f>
        <v>2.4324160870879952E-2</v>
      </c>
      <c r="G15" s="19">
        <f>'Data Sheet'!F26/'Data Sheet'!F$17</f>
        <v>3.1864391845006661E-2</v>
      </c>
      <c r="H15" s="19">
        <f>'Data Sheet'!G26/'Data Sheet'!G$17</f>
        <v>3.2516522016084085E-2</v>
      </c>
      <c r="I15" s="19">
        <f>'Data Sheet'!H26/'Data Sheet'!H$17</f>
        <v>2.8575891352422292E-2</v>
      </c>
      <c r="J15" s="19">
        <f>'Data Sheet'!I26/'Data Sheet'!I$17</f>
        <v>2.8787125171189708E-2</v>
      </c>
      <c r="K15" s="19">
        <f>'Data Sheet'!J26/'Data Sheet'!J$17</f>
        <v>3.0441855925034164E-2</v>
      </c>
      <c r="L15" s="19">
        <f>'Data Sheet'!K26/'Data Sheet'!K$17</f>
        <v>2.9523283637032948E-2</v>
      </c>
    </row>
    <row r="16" spans="1:12" x14ac:dyDescent="0.25">
      <c r="B16" s="96" t="str">
        <f>'Data Sheet'!A27</f>
        <v>Interest</v>
      </c>
      <c r="C16" s="19">
        <f>'Data Sheet'!B27/'Data Sheet'!B$17</f>
        <v>0</v>
      </c>
      <c r="D16" s="19">
        <f>'Data Sheet'!C27/'Data Sheet'!C$17</f>
        <v>0</v>
      </c>
      <c r="E16" s="19">
        <f>'Data Sheet'!D27/'Data Sheet'!D$17</f>
        <v>0</v>
      </c>
      <c r="F16" s="19">
        <f>'Data Sheet'!E27/'Data Sheet'!E$17</f>
        <v>0</v>
      </c>
      <c r="G16" s="19">
        <f>'Data Sheet'!F27/'Data Sheet'!F$17</f>
        <v>1.8724322895441179E-3</v>
      </c>
      <c r="H16" s="19">
        <f>'Data Sheet'!G27/'Data Sheet'!G$17</f>
        <v>1.9408392387928975E-3</v>
      </c>
      <c r="I16" s="19">
        <f>'Data Sheet'!H27/'Data Sheet'!H$17</f>
        <v>1.6441824713706726E-3</v>
      </c>
      <c r="J16" s="19">
        <f>'Data Sheet'!I27/'Data Sheet'!I$17</f>
        <v>1.9350398931639945E-3</v>
      </c>
      <c r="K16" s="19">
        <f>'Data Sheet'!J27/'Data Sheet'!J$17</f>
        <v>3.0585019847725646E-3</v>
      </c>
      <c r="L16" s="19">
        <f>'Data Sheet'!K27/'Data Sheet'!K$17</f>
        <v>2.5523038223203877E-3</v>
      </c>
    </row>
    <row r="17" spans="1:12" x14ac:dyDescent="0.25">
      <c r="B17" s="96" t="str">
        <f>'Data Sheet'!A28</f>
        <v>Profit before tax</v>
      </c>
      <c r="C17" s="19">
        <f>'Data Sheet'!B28/'Data Sheet'!B$17</f>
        <v>0.30012331641069168</v>
      </c>
      <c r="D17" s="19">
        <f>'Data Sheet'!C28/'Data Sheet'!C$17</f>
        <v>0.29132352082238189</v>
      </c>
      <c r="E17" s="19">
        <f>'Data Sheet'!D28/'Data Sheet'!D$17</f>
        <v>0.28742803664104816</v>
      </c>
      <c r="F17" s="19">
        <f>'Data Sheet'!E28/'Data Sheet'!E$17</f>
        <v>0.25450257030541273</v>
      </c>
      <c r="G17" s="19">
        <f>'Data Sheet'!F28/'Data Sheet'!F$17</f>
        <v>0.24239186703527882</v>
      </c>
      <c r="H17" s="19">
        <f>'Data Sheet'!G28/'Data Sheet'!G$17</f>
        <v>0.26502906282347322</v>
      </c>
      <c r="I17" s="19">
        <f>'Data Sheet'!H28/'Data Sheet'!H$17</f>
        <v>0.24753167106485477</v>
      </c>
      <c r="J17" s="19">
        <f>'Data Sheet'!I28/'Data Sheet'!I$17</f>
        <v>0.22704013845074164</v>
      </c>
      <c r="K17" s="19">
        <f>'Data Sheet'!J28/'Data Sheet'!J$17</f>
        <v>0.2341901477191384</v>
      </c>
      <c r="L17" s="19">
        <f>'Data Sheet'!K28/'Data Sheet'!K$17</f>
        <v>0.23073808209092583</v>
      </c>
    </row>
    <row r="18" spans="1:12" x14ac:dyDescent="0.25">
      <c r="B18" s="96" t="str">
        <f>'Data Sheet'!A29</f>
        <v>Tax</v>
      </c>
      <c r="C18" s="19">
        <f>'Data Sheet'!B29/'Data Sheet'!B$17</f>
        <v>8.4095386044425943E-2</v>
      </c>
      <c r="D18" s="19">
        <f>'Data Sheet'!C29/'Data Sheet'!C$17</f>
        <v>8.1741720693884704E-2</v>
      </c>
      <c r="E18" s="19">
        <f>'Data Sheet'!D29/'Data Sheet'!D$17</f>
        <v>6.0137262130966221E-2</v>
      </c>
      <c r="F18" s="19">
        <f>'Data Sheet'!E29/'Data Sheet'!E$17</f>
        <v>6.8110069549440586E-2</v>
      </c>
      <c r="G18" s="19">
        <f>'Data Sheet'!F29/'Data Sheet'!F$17</f>
        <v>5.9124803119251911E-2</v>
      </c>
      <c r="H18" s="19">
        <f>'Data Sheet'!G29/'Data Sheet'!G$17</f>
        <v>7.1711521617963209E-2</v>
      </c>
      <c r="I18" s="19">
        <f>'Data Sheet'!H29/'Data Sheet'!H$17</f>
        <v>6.5471346009980183E-2</v>
      </c>
      <c r="J18" s="19">
        <f>'Data Sheet'!I29/'Data Sheet'!I$17</f>
        <v>6.2779780195820589E-2</v>
      </c>
      <c r="K18" s="19">
        <f>'Data Sheet'!J29/'Data Sheet'!J$17</f>
        <v>6.3382573046137827E-2</v>
      </c>
      <c r="L18" s="19">
        <f>'Data Sheet'!K29/'Data Sheet'!K$17</f>
        <v>6.6617583900852817E-2</v>
      </c>
    </row>
    <row r="19" spans="1:12" x14ac:dyDescent="0.25">
      <c r="B19" s="96" t="str">
        <f>'Data Sheet'!A30</f>
        <v>Net profit</v>
      </c>
      <c r="C19" s="19">
        <f>'Data Sheet'!B30/'Data Sheet'!B$17</f>
        <v>0.21602793036626575</v>
      </c>
      <c r="D19" s="19">
        <f>'Data Sheet'!C30/'Data Sheet'!C$17</f>
        <v>0.20958180012849717</v>
      </c>
      <c r="E19" s="19">
        <f>'Data Sheet'!D30/'Data Sheet'!D$17</f>
        <v>0.22729077451008195</v>
      </c>
      <c r="F19" s="19">
        <f>'Data Sheet'!E30/'Data Sheet'!E$17</f>
        <v>0.1863199274266707</v>
      </c>
      <c r="G19" s="19">
        <f>'Data Sheet'!F30/'Data Sheet'!F$17</f>
        <v>0.182771420074677</v>
      </c>
      <c r="H19" s="19">
        <f>'Data Sheet'!G30/'Data Sheet'!G$17</f>
        <v>0.19260092364041723</v>
      </c>
      <c r="I19" s="19">
        <f>'Data Sheet'!H30/'Data Sheet'!H$17</f>
        <v>0.18176437221002786</v>
      </c>
      <c r="J19" s="19">
        <f>'Data Sheet'!I30/'Data Sheet'!I$17</f>
        <v>0.16417178248516356</v>
      </c>
      <c r="K19" s="19">
        <f>'Data Sheet'!J30/'Data Sheet'!J$17</f>
        <v>0.17070996290752913</v>
      </c>
      <c r="L19" s="19">
        <f>'Data Sheet'!K30/'Data Sheet'!K$17</f>
        <v>0.16389349039818393</v>
      </c>
    </row>
    <row r="20" spans="1:12" x14ac:dyDescent="0.25">
      <c r="B20" s="96" t="str">
        <f>'Data Sheet'!A31</f>
        <v>Dividend Amount</v>
      </c>
      <c r="C20" s="19">
        <f>'Data Sheet'!B31/'Data Sheet'!B$17</f>
        <v>8.8858282218414172E-2</v>
      </c>
      <c r="D20" s="19">
        <f>'Data Sheet'!C31/'Data Sheet'!C$17</f>
        <v>8.6028853454821572E-2</v>
      </c>
      <c r="E20" s="19">
        <f>'Data Sheet'!D31/'Data Sheet'!D$17</f>
        <v>0.13422194492498796</v>
      </c>
      <c r="F20" s="19">
        <f>'Data Sheet'!E31/'Data Sheet'!E$17</f>
        <v>0.11155125491381918</v>
      </c>
      <c r="G20" s="19">
        <f>'Data Sheet'!F31/'Data Sheet'!F$17</f>
        <v>8.1803262437906837E-2</v>
      </c>
      <c r="H20" s="19">
        <f>'Data Sheet'!G31/'Data Sheet'!G$17</f>
        <v>0.11415717811927702</v>
      </c>
      <c r="I20" s="19">
        <f>'Data Sheet'!H31/'Data Sheet'!H$17</f>
        <v>0.10693433957300581</v>
      </c>
      <c r="J20" s="19">
        <f>'Data Sheet'!I31/'Data Sheet'!I$17</f>
        <v>9.5860786144024213E-2</v>
      </c>
      <c r="K20" s="19">
        <f>'Data Sheet'!J31/'Data Sheet'!J$17</f>
        <v>0.12398776599206092</v>
      </c>
      <c r="L20" s="19">
        <f>'Data Sheet'!K31/'Data Sheet'!K$17</f>
        <v>0.10937971654702743</v>
      </c>
    </row>
    <row r="21" spans="1:12" x14ac:dyDescent="0.25">
      <c r="B21" s="96" t="str">
        <f>'Data Sheet'!A33</f>
        <v>EBITDA</v>
      </c>
      <c r="C21" s="19">
        <f>'Data Sheet'!B33/'Data Sheet'!B$17</f>
        <v>0.32348937396902677</v>
      </c>
      <c r="D21" s="19">
        <f>'Data Sheet'!C33/'Data Sheet'!C$17</f>
        <v>0.31619064306991412</v>
      </c>
      <c r="E21" s="19">
        <f>'Data Sheet'!D33/'Data Sheet'!D$17</f>
        <v>0.31384532486316324</v>
      </c>
      <c r="F21" s="19">
        <f>'Data Sheet'!E33/'Data Sheet'!E$17</f>
        <v>0.27875415784699126</v>
      </c>
      <c r="G21" s="19">
        <f>'Data Sheet'!F33/'Data Sheet'!F$17</f>
        <v>0.27563304732847971</v>
      </c>
      <c r="H21" s="19">
        <f>'Data Sheet'!G33/'Data Sheet'!G$17</f>
        <v>0.29876980651325741</v>
      </c>
      <c r="I21" s="19">
        <f>'Data Sheet'!H33/'Data Sheet'!H$17</f>
        <v>0.277455792043801</v>
      </c>
      <c r="J21" s="19">
        <f>'Data Sheet'!I33/'Data Sheet'!I$17</f>
        <v>0.25767372774533787</v>
      </c>
      <c r="K21" s="19">
        <f>'Data Sheet'!J33/'Data Sheet'!J$17</f>
        <v>0.26759289386347368</v>
      </c>
      <c r="L21" s="19">
        <f>'Data Sheet'!K33/'Data Sheet'!K$17</f>
        <v>0.26258666175839007</v>
      </c>
    </row>
    <row r="23" spans="1:12" x14ac:dyDescent="0.25">
      <c r="A23" t="s">
        <v>56</v>
      </c>
      <c r="B23" s="159" t="str">
        <f>"Common Size Balance Sheet"&amp;" "&amp;"- "&amp;'Data Sheet'!$B$1</f>
        <v>Common Size Balance Sheet - INFOSYS LTD</v>
      </c>
      <c r="C23" s="159"/>
      <c r="D23" s="159"/>
      <c r="E23" s="159"/>
      <c r="F23" s="159"/>
      <c r="G23" s="159"/>
      <c r="H23" s="159"/>
      <c r="I23" s="159"/>
      <c r="J23" s="159"/>
      <c r="K23" s="159"/>
      <c r="L23" s="159"/>
    </row>
    <row r="25" spans="1:12" x14ac:dyDescent="0.25">
      <c r="B25" s="94" t="s">
        <v>265</v>
      </c>
      <c r="C25" s="95">
        <f>'Data Sheet'!B56</f>
        <v>42460</v>
      </c>
      <c r="D25" s="95">
        <f>'Data Sheet'!C56</f>
        <v>42825</v>
      </c>
      <c r="E25" s="95">
        <f>'Data Sheet'!D56</f>
        <v>43190</v>
      </c>
      <c r="F25" s="95">
        <f>'Data Sheet'!E56</f>
        <v>43555</v>
      </c>
      <c r="G25" s="95">
        <f>'Data Sheet'!F56</f>
        <v>43921</v>
      </c>
      <c r="H25" s="95">
        <f>'Data Sheet'!G56</f>
        <v>44286</v>
      </c>
      <c r="I25" s="95">
        <f>'Data Sheet'!H56</f>
        <v>44651</v>
      </c>
      <c r="J25" s="95">
        <f>'Data Sheet'!I56</f>
        <v>45016</v>
      </c>
      <c r="K25" s="95">
        <f>'Data Sheet'!J56</f>
        <v>45382</v>
      </c>
      <c r="L25" s="95">
        <f>'Data Sheet'!K56</f>
        <v>45747</v>
      </c>
    </row>
    <row r="27" spans="1:12" x14ac:dyDescent="0.25">
      <c r="B27" s="97" t="s">
        <v>103</v>
      </c>
      <c r="C27" s="98">
        <f>'Data Sheet'!B61/'Data Sheet'!B$61</f>
        <v>1</v>
      </c>
      <c r="D27" s="98">
        <f>'Data Sheet'!C61/'Data Sheet'!C$61</f>
        <v>1</v>
      </c>
      <c r="E27" s="98">
        <f>'Data Sheet'!D61/'Data Sheet'!D$61</f>
        <v>1</v>
      </c>
      <c r="F27" s="98">
        <f>'Data Sheet'!E61/'Data Sheet'!E$61</f>
        <v>1</v>
      </c>
      <c r="G27" s="98">
        <f>'Data Sheet'!F61/'Data Sheet'!F$61</f>
        <v>1</v>
      </c>
      <c r="H27" s="98">
        <f>'Data Sheet'!G61/'Data Sheet'!G$61</f>
        <v>1</v>
      </c>
      <c r="I27" s="98">
        <f>'Data Sheet'!H61/'Data Sheet'!H$61</f>
        <v>1</v>
      </c>
      <c r="J27" s="98">
        <f>'Data Sheet'!I61/'Data Sheet'!I$61</f>
        <v>1</v>
      </c>
      <c r="K27" s="98">
        <f>'Data Sheet'!J61/'Data Sheet'!J$61</f>
        <v>1</v>
      </c>
      <c r="L27" s="98">
        <f>'Data Sheet'!K61/'Data Sheet'!K$61</f>
        <v>1</v>
      </c>
    </row>
    <row r="28" spans="1:12" x14ac:dyDescent="0.25">
      <c r="B28" s="96" t="str">
        <f>'Data Sheet'!A57</f>
        <v>Equity Share Capital</v>
      </c>
      <c r="C28" s="19">
        <f>'Data Sheet'!B57/'Data Sheet'!B$61</f>
        <v>1.5233428320328105E-2</v>
      </c>
      <c r="D28" s="19">
        <f>'Data Sheet'!C57/'Data Sheet'!C$61</f>
        <v>1.3758599124452783E-2</v>
      </c>
      <c r="E28" s="19">
        <f>'Data Sheet'!D57/'Data Sheet'!D$61</f>
        <v>1.3711577965695851E-2</v>
      </c>
      <c r="F28" s="19">
        <f>'Data Sheet'!E57/'Data Sheet'!E$61</f>
        <v>2.5813051649894132E-2</v>
      </c>
      <c r="G28" s="19">
        <f>'Data Sheet'!F57/'Data Sheet'!F$61</f>
        <v>2.3115468409586056E-2</v>
      </c>
      <c r="H28" s="19">
        <f>'Data Sheet'!G57/'Data Sheet'!G$61</f>
        <v>1.9756117978625445E-2</v>
      </c>
      <c r="I28" s="19">
        <f>'Data Sheet'!H57/'Data Sheet'!H$61</f>
        <v>1.7973254289850853E-2</v>
      </c>
      <c r="J28" s="19">
        <f>'Data Sheet'!I57/'Data Sheet'!I$61</f>
        <v>1.6605669523901249E-2</v>
      </c>
      <c r="K28" s="19">
        <f>'Data Sheet'!J57/'Data Sheet'!J$61</f>
        <v>1.5077169481654048E-2</v>
      </c>
      <c r="L28" s="19">
        <f>'Data Sheet'!K57/'Data Sheet'!K$61</f>
        <v>1.4026184918298995E-2</v>
      </c>
    </row>
    <row r="29" spans="1:12" x14ac:dyDescent="0.25">
      <c r="B29" s="96" t="str">
        <f>'Data Sheet'!A58</f>
        <v>Reserves</v>
      </c>
      <c r="C29" s="19">
        <f>'Data Sheet'!B58/'Data Sheet'!B$61</f>
        <v>0.80694559109430342</v>
      </c>
      <c r="D29" s="19">
        <f>'Data Sheet'!C58/'Data Sheet'!C$61</f>
        <v>0.81587049598306638</v>
      </c>
      <c r="E29" s="19">
        <f>'Data Sheet'!D58/'Data Sheet'!D$61</f>
        <v>0.80448398845606117</v>
      </c>
      <c r="F29" s="19">
        <f>'Data Sheet'!E58/'Data Sheet'!E$61</f>
        <v>0.74677039468988649</v>
      </c>
      <c r="G29" s="19">
        <f>'Data Sheet'!F58/'Data Sheet'!F$61</f>
        <v>0.68984749455337691</v>
      </c>
      <c r="H29" s="19">
        <f>'Data Sheet'!G58/'Data Sheet'!G$61</f>
        <v>0.69041307401103147</v>
      </c>
      <c r="I29" s="19">
        <f>'Data Sheet'!H58/'Data Sheet'!H$61</f>
        <v>0.62753900059111278</v>
      </c>
      <c r="J29" s="19">
        <f>'Data Sheet'!I58/'Data Sheet'!I$61</f>
        <v>0.58860637580660691</v>
      </c>
      <c r="K29" s="19">
        <f>'Data Sheet'!J58/'Data Sheet'!J$61</f>
        <v>0.6264196272568433</v>
      </c>
      <c r="L29" s="19">
        <f>'Data Sheet'!K58/'Data Sheet'!K$61</f>
        <v>0.63429074055279266</v>
      </c>
    </row>
    <row r="30" spans="1:12" x14ac:dyDescent="0.25">
      <c r="B30" s="96" t="str">
        <f>'Data Sheet'!A59</f>
        <v>Borrowings</v>
      </c>
      <c r="C30" s="19">
        <f>'Data Sheet'!B59/'Data Sheet'!B$61</f>
        <v>0</v>
      </c>
      <c r="D30" s="19">
        <f>'Data Sheet'!C59/'Data Sheet'!C$61</f>
        <v>0</v>
      </c>
      <c r="E30" s="19">
        <f>'Data Sheet'!D59/'Data Sheet'!D$61</f>
        <v>0</v>
      </c>
      <c r="F30" s="19">
        <f>'Data Sheet'!E59/'Data Sheet'!E$61</f>
        <v>0</v>
      </c>
      <c r="G30" s="19">
        <f>'Data Sheet'!F59/'Data Sheet'!F$61</f>
        <v>5.0468409586056646E-2</v>
      </c>
      <c r="H30" s="19">
        <f>'Data Sheet'!G59/'Data Sheet'!G$61</f>
        <v>4.9529815553757288E-2</v>
      </c>
      <c r="I30" s="19">
        <f>'Data Sheet'!H59/'Data Sheet'!H$61</f>
        <v>4.6894944700974051E-2</v>
      </c>
      <c r="J30" s="19">
        <f>'Data Sheet'!I59/'Data Sheet'!I$61</f>
        <v>6.6607274711868766E-2</v>
      </c>
      <c r="K30" s="19">
        <f>'Data Sheet'!J59/'Data Sheet'!J$61</f>
        <v>6.0854688410017475E-2</v>
      </c>
      <c r="L30" s="19">
        <f>'Data Sheet'!K59/'Data Sheet'!K$61</f>
        <v>5.566494130383301E-2</v>
      </c>
    </row>
    <row r="31" spans="1:12" x14ac:dyDescent="0.25">
      <c r="B31" s="96" t="str">
        <f>'Data Sheet'!A60</f>
        <v>Other Liabilities</v>
      </c>
      <c r="C31" s="19">
        <f>'Data Sheet'!B60/'Data Sheet'!B$61</f>
        <v>0.17782098058536847</v>
      </c>
      <c r="D31" s="19">
        <f>'Data Sheet'!C60/'Data Sheet'!C$61</f>
        <v>0.17037090489248088</v>
      </c>
      <c r="E31" s="19">
        <f>'Data Sheet'!D60/'Data Sheet'!D$61</f>
        <v>0.18180443357824294</v>
      </c>
      <c r="F31" s="19">
        <f>'Data Sheet'!E60/'Data Sheet'!E$61</f>
        <v>0.22741655366021934</v>
      </c>
      <c r="G31" s="19">
        <f>'Data Sheet'!F60/'Data Sheet'!F$61</f>
        <v>0.2365686274509804</v>
      </c>
      <c r="H31" s="19">
        <f>'Data Sheet'!G60/'Data Sheet'!G$61</f>
        <v>0.24030099245658584</v>
      </c>
      <c r="I31" s="19">
        <f>'Data Sheet'!H60/'Data Sheet'!H$61</f>
        <v>0.30759280041806236</v>
      </c>
      <c r="J31" s="19">
        <f>'Data Sheet'!I60/'Data Sheet'!I$61</f>
        <v>0.32818067995762301</v>
      </c>
      <c r="K31" s="19">
        <f>'Data Sheet'!J60/'Data Sheet'!J$61</f>
        <v>0.29764851485148514</v>
      </c>
      <c r="L31" s="19">
        <f>'Data Sheet'!K60/'Data Sheet'!K$61</f>
        <v>0.29601813322507525</v>
      </c>
    </row>
    <row r="32" spans="1:12" x14ac:dyDescent="0.25">
      <c r="B32" s="96"/>
    </row>
    <row r="33" spans="2:12" x14ac:dyDescent="0.25">
      <c r="B33" s="2" t="s">
        <v>107</v>
      </c>
      <c r="C33" s="98">
        <f>'Data Sheet'!B76/'Data Sheet'!B$76</f>
        <v>1</v>
      </c>
      <c r="D33" s="98">
        <f>'Data Sheet'!C76/'Data Sheet'!C$76</f>
        <v>1</v>
      </c>
      <c r="E33" s="98">
        <f>'Data Sheet'!D76/'Data Sheet'!D$76</f>
        <v>1</v>
      </c>
      <c r="F33" s="98">
        <f>'Data Sheet'!E76/'Data Sheet'!E$76</f>
        <v>1</v>
      </c>
      <c r="G33" s="98">
        <f>'Data Sheet'!F76/'Data Sheet'!F$76</f>
        <v>1</v>
      </c>
      <c r="H33" s="98">
        <f>'Data Sheet'!G76/'Data Sheet'!G$76</f>
        <v>1</v>
      </c>
      <c r="I33" s="98">
        <f>'Data Sheet'!H76/'Data Sheet'!H$76</f>
        <v>1</v>
      </c>
      <c r="J33" s="98">
        <f>'Data Sheet'!I76/'Data Sheet'!I$76</f>
        <v>1</v>
      </c>
      <c r="K33" s="98">
        <f>'Data Sheet'!J76/'Data Sheet'!J$76</f>
        <v>1</v>
      </c>
      <c r="L33" s="98">
        <f>'Data Sheet'!K76/'Data Sheet'!K$76</f>
        <v>1</v>
      </c>
    </row>
    <row r="34" spans="2:12" x14ac:dyDescent="0.25">
      <c r="B34" s="96" t="str">
        <f>'Data Sheet'!A62</f>
        <v>Net Block</v>
      </c>
      <c r="C34" s="19">
        <f>'Data Sheet'!B62/'Data Sheet'!B$76</f>
        <v>0.17824709046845455</v>
      </c>
      <c r="D34" s="19">
        <f>'Data Sheet'!C62/'Data Sheet'!C$76</f>
        <v>0.1705272526098042</v>
      </c>
      <c r="E34" s="19">
        <f>'Data Sheet'!D62/'Data Sheet'!D$76</f>
        <v>0.15846450490869451</v>
      </c>
      <c r="F34" s="19">
        <f>'Data Sheet'!E62/'Data Sheet'!E$76</f>
        <v>0.18687697761282801</v>
      </c>
      <c r="G34" s="19">
        <f>'Data Sheet'!F62/'Data Sheet'!F$76</f>
        <v>0.25913943355119828</v>
      </c>
      <c r="H34" s="19">
        <f>'Data Sheet'!G62/'Data Sheet'!G$76</f>
        <v>0.23723153909832481</v>
      </c>
      <c r="I34" s="19">
        <f>'Data Sheet'!H62/'Data Sheet'!H$76</f>
        <v>0.22102476676746996</v>
      </c>
      <c r="J34" s="19">
        <f>'Data Sheet'!I62/'Data Sheet'!I$76</f>
        <v>0.23455809175254422</v>
      </c>
      <c r="K34" s="19">
        <f>'Data Sheet'!J62/'Data Sheet'!J$76</f>
        <v>0.20109202096680256</v>
      </c>
      <c r="L34" s="19">
        <f>'Data Sheet'!K62/'Data Sheet'!K$76</f>
        <v>0.20948611252072127</v>
      </c>
    </row>
    <row r="35" spans="2:12" x14ac:dyDescent="0.25">
      <c r="B35" s="96" t="str">
        <f>'Data Sheet'!A63</f>
        <v>Capital Work in Progress</v>
      </c>
      <c r="C35" s="19">
        <f>'Data Sheet'!B63/'Data Sheet'!B$76</f>
        <v>1.2783296492583024E-2</v>
      </c>
      <c r="D35" s="19">
        <f>'Data Sheet'!C63/'Data Sheet'!C$76</f>
        <v>1.6416510318949345E-2</v>
      </c>
      <c r="E35" s="19">
        <f>'Data Sheet'!D63/'Data Sheet'!D$76</f>
        <v>2.0239700563334132E-2</v>
      </c>
      <c r="F35" s="19">
        <f>'Data Sheet'!E63/'Data Sheet'!E$76</f>
        <v>1.6510836723526753E-2</v>
      </c>
      <c r="G35" s="19">
        <f>'Data Sheet'!F63/'Data Sheet'!F$76</f>
        <v>1.0392156862745097E-2</v>
      </c>
      <c r="H35" s="19">
        <f>'Data Sheet'!G63/'Data Sheet'!G$76</f>
        <v>8.575866655505018E-3</v>
      </c>
      <c r="I35" s="19">
        <f>'Data Sheet'!H63/'Data Sheet'!H$76</f>
        <v>3.5638101928398254E-3</v>
      </c>
      <c r="J35" s="19">
        <f>'Data Sheet'!I63/'Data Sheet'!I$76</f>
        <v>2.3114706732158337E-3</v>
      </c>
      <c r="K35" s="19">
        <f>'Data Sheet'!J63/'Data Sheet'!J$76</f>
        <v>2.1330809551543392E-3</v>
      </c>
      <c r="L35" s="19">
        <f>'Data Sheet'!K63/'Data Sheet'!K$76</f>
        <v>5.5076288101762573E-3</v>
      </c>
    </row>
    <row r="36" spans="2:12" x14ac:dyDescent="0.25">
      <c r="B36" s="96" t="str">
        <f>'Data Sheet'!A64</f>
        <v>Investments</v>
      </c>
      <c r="C36" s="19">
        <f>'Data Sheet'!B64/'Data Sheet'!B$76</f>
        <v>2.5193746837465711E-2</v>
      </c>
      <c r="D36" s="19">
        <f>'Data Sheet'!C64/'Data Sheet'!C$76</f>
        <v>0.19751527396930774</v>
      </c>
      <c r="E36" s="19">
        <f>'Data Sheet'!D64/'Data Sheet'!D$76</f>
        <v>0.15328485551172669</v>
      </c>
      <c r="F36" s="19">
        <f>'Data Sheet'!E64/'Data Sheet'!E$76</f>
        <v>0.13395427402279161</v>
      </c>
      <c r="G36" s="19">
        <f>'Data Sheet'!F64/'Data Sheet'!F$76</f>
        <v>9.5773420479302832E-2</v>
      </c>
      <c r="H36" s="19">
        <f>'Data Sheet'!G64/'Data Sheet'!G$76</f>
        <v>0.13212601501241733</v>
      </c>
      <c r="I36" s="19">
        <f>'Data Sheet'!H64/'Data Sheet'!H$76</f>
        <v>0.17411268836364571</v>
      </c>
      <c r="J36" s="19">
        <f>'Data Sheet'!I64/'Data Sheet'!I$76</f>
        <v>0.15632925615589585</v>
      </c>
      <c r="K36" s="19">
        <f>'Data Sheet'!J64/'Data Sheet'!J$76</f>
        <v>0.17925888177052998</v>
      </c>
      <c r="L36" s="19">
        <f>'Data Sheet'!K64/'Data Sheet'!K$76</f>
        <v>0.15928143712574849</v>
      </c>
    </row>
    <row r="37" spans="2:12" x14ac:dyDescent="0.25">
      <c r="B37" s="96" t="str">
        <f>'Data Sheet'!A65</f>
        <v>Other Assets</v>
      </c>
      <c r="C37" s="19">
        <f>'Data Sheet'!B74/'Data Sheet'!B$76</f>
        <v>0.19751524674425416</v>
      </c>
      <c r="D37" s="19">
        <f>'Data Sheet'!C74/'Data Sheet'!C$76</f>
        <v>0.1952422186943763</v>
      </c>
      <c r="E37" s="19">
        <f>'Data Sheet'!D74/'Data Sheet'!D$76</f>
        <v>0.25263078299663511</v>
      </c>
      <c r="F37" s="19">
        <f>'Data Sheet'!E74/'Data Sheet'!E$76</f>
        <v>0.25351509528227822</v>
      </c>
      <c r="G37" s="19">
        <f>'Data Sheet'!F74/'Data Sheet'!F$76</f>
        <v>0.23016339869281047</v>
      </c>
      <c r="H37" s="19">
        <f>'Data Sheet'!G74/'Data Sheet'!G$76</f>
        <v>0.21273172047511418</v>
      </c>
      <c r="I37" s="19">
        <f>'Data Sheet'!H74/'Data Sheet'!H$76</f>
        <v>0.25716831292994885</v>
      </c>
      <c r="J37" s="19">
        <f>'Data Sheet'!I74/'Data Sheet'!I$76</f>
        <v>0.30504992134578957</v>
      </c>
      <c r="K37" s="19">
        <f>'Data Sheet'!J74/'Data Sheet'!J$76</f>
        <v>0.2900626092020967</v>
      </c>
      <c r="L37" s="19">
        <f>'Data Sheet'!K74/'Data Sheet'!K$76</f>
        <v>0.24944010284515714</v>
      </c>
    </row>
    <row r="38" spans="2:12" x14ac:dyDescent="0.25">
      <c r="B38" s="96" t="str">
        <f>'Data Sheet'!A67</f>
        <v>Receivables</v>
      </c>
      <c r="C38" s="19">
        <f>'Data Sheet'!B67/'Data Sheet'!B$76</f>
        <v>0.15086953048017257</v>
      </c>
      <c r="D38" s="19">
        <f>'Data Sheet'!C67/'Data Sheet'!C$76</f>
        <v>0.14819358252754125</v>
      </c>
      <c r="E38" s="19">
        <f>'Data Sheet'!D67/'Data Sheet'!D$76</f>
        <v>0.16562275517019748</v>
      </c>
      <c r="F38" s="19">
        <f>'Data Sheet'!E67/'Data Sheet'!E$76</f>
        <v>0.1763733257202674</v>
      </c>
      <c r="G38" s="19">
        <f>'Data Sheet'!F67/'Data Sheet'!F$76</f>
        <v>0.20138344226579522</v>
      </c>
      <c r="H38" s="19">
        <f>'Data Sheet'!G67/'Data Sheet'!G$76</f>
        <v>0.17946070634632735</v>
      </c>
      <c r="I38" s="19">
        <f>'Data Sheet'!H67/'Data Sheet'!H$76</f>
        <v>0.19445039364682298</v>
      </c>
      <c r="J38" s="19">
        <f>'Data Sheet'!I67/'Data Sheet'!I$76</f>
        <v>0.20405149442999776</v>
      </c>
      <c r="K38" s="19">
        <f>'Data Sheet'!J67/'Data Sheet'!J$76</f>
        <v>0.21980926033779849</v>
      </c>
      <c r="L38" s="19">
        <f>'Data Sheet'!K67/'Data Sheet'!K$76</f>
        <v>0.21081903988632902</v>
      </c>
    </row>
    <row r="39" spans="2:12" x14ac:dyDescent="0.25">
      <c r="B39" s="96" t="str">
        <f>'Data Sheet'!A68</f>
        <v>Inventory</v>
      </c>
      <c r="C39" s="19">
        <f>'Data Sheet'!B68/'Data Sheet'!B$76</f>
        <v>0</v>
      </c>
      <c r="D39" s="19">
        <f>'Data Sheet'!C68/'Data Sheet'!C$76</f>
        <v>0</v>
      </c>
      <c r="E39" s="19">
        <f>'Data Sheet'!D68/'Data Sheet'!D$76</f>
        <v>0</v>
      </c>
      <c r="F39" s="19">
        <f>'Data Sheet'!E68/'Data Sheet'!E$76</f>
        <v>0</v>
      </c>
      <c r="G39" s="19">
        <f>'Data Sheet'!F68/'Data Sheet'!F$76</f>
        <v>0</v>
      </c>
      <c r="H39" s="19">
        <f>'Data Sheet'!G68/'Data Sheet'!G$76</f>
        <v>0</v>
      </c>
      <c r="I39" s="19">
        <f>'Data Sheet'!H68/'Data Sheet'!H$76</f>
        <v>0</v>
      </c>
      <c r="J39" s="19">
        <f>'Data Sheet'!I68/'Data Sheet'!I$76</f>
        <v>0</v>
      </c>
      <c r="K39" s="19">
        <f>'Data Sheet'!J68/'Data Sheet'!J$76</f>
        <v>0</v>
      </c>
      <c r="L39" s="19">
        <f>'Data Sheet'!K68/'Data Sheet'!K$76</f>
        <v>0</v>
      </c>
    </row>
    <row r="40" spans="2:12" x14ac:dyDescent="0.25">
      <c r="B40" s="96" t="str">
        <f>'Data Sheet'!A69</f>
        <v>Cash &amp; Bank</v>
      </c>
      <c r="C40" s="19">
        <f>'Data Sheet'!B69/'Data Sheet'!B$76</f>
        <v>0.43539108897706996</v>
      </c>
      <c r="D40" s="19">
        <f>'Data Sheet'!C69/'Data Sheet'!C$76</f>
        <v>0.27210516188002115</v>
      </c>
      <c r="E40" s="19">
        <f>'Data Sheet'!D69/'Data Sheet'!D$76</f>
        <v>0.24975740084941209</v>
      </c>
      <c r="F40" s="19">
        <f>'Data Sheet'!E69/'Data Sheet'!E$76</f>
        <v>0.23276949063830799</v>
      </c>
      <c r="G40" s="19">
        <f>'Data Sheet'!F69/'Data Sheet'!F$76</f>
        <v>0.20314814814814816</v>
      </c>
      <c r="H40" s="19">
        <f>'Data Sheet'!G69/'Data Sheet'!G$76</f>
        <v>0.22987415241231129</v>
      </c>
      <c r="I40" s="19">
        <f>'Data Sheet'!H69/'Data Sheet'!H$76</f>
        <v>0.14968002809927267</v>
      </c>
      <c r="J40" s="19">
        <f>'Data Sheet'!I69/'Data Sheet'!I$76</f>
        <v>9.7699765642556738E-2</v>
      </c>
      <c r="K40" s="19">
        <f>'Data Sheet'!J69/'Data Sheet'!J$76</f>
        <v>0.10764414676761794</v>
      </c>
      <c r="L40" s="19">
        <f>'Data Sheet'!K69/'Data Sheet'!K$76</f>
        <v>0.1654656788118678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C817-2AA6-4290-8192-D9273F9DC932}">
  <sheetPr>
    <tabColor rgb="FF002060"/>
  </sheetPr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075A-5AB8-4CD5-B4EB-383A48275B17}">
  <sheetPr>
    <pageSetUpPr fitToPage="1"/>
  </sheetPr>
  <dimension ref="B2:P43"/>
  <sheetViews>
    <sheetView showGridLines="0" topLeftCell="A37" workbookViewId="0">
      <selection activeCell="K33" sqref="K33"/>
    </sheetView>
  </sheetViews>
  <sheetFormatPr defaultRowHeight="15" x14ac:dyDescent="0.25"/>
  <cols>
    <col min="1" max="1" width="1.85546875" customWidth="1"/>
    <col min="2" max="2" width="36.140625" bestFit="1" customWidth="1"/>
    <col min="3" max="3" width="9.7109375" bestFit="1" customWidth="1"/>
    <col min="4" max="4" width="11" bestFit="1" customWidth="1"/>
    <col min="5" max="5" width="11.5703125" bestFit="1" customWidth="1"/>
    <col min="6" max="6" width="10.7109375" bestFit="1" customWidth="1"/>
    <col min="9" max="9" width="9.5703125" bestFit="1" customWidth="1"/>
    <col min="10" max="10" width="10.28515625" bestFit="1" customWidth="1"/>
    <col min="11" max="11" width="11.140625" customWidth="1"/>
  </cols>
  <sheetData>
    <row r="2" spans="2:16" x14ac:dyDescent="0.25">
      <c r="B2" s="17" t="s">
        <v>155</v>
      </c>
      <c r="C2" s="17"/>
      <c r="D2" s="17"/>
      <c r="E2" s="17"/>
      <c r="F2" s="17"/>
      <c r="G2" s="17"/>
      <c r="H2" s="17"/>
      <c r="I2" s="17"/>
      <c r="J2" s="17"/>
      <c r="K2" s="17"/>
      <c r="L2" s="2"/>
      <c r="M2" s="2"/>
      <c r="N2" s="2"/>
      <c r="P2" s="2"/>
    </row>
    <row r="4" spans="2:16" x14ac:dyDescent="0.25">
      <c r="B4" s="49" t="s">
        <v>156</v>
      </c>
    </row>
    <row r="6" spans="2:16" x14ac:dyDescent="0.25">
      <c r="B6" s="2" t="s">
        <v>158</v>
      </c>
    </row>
    <row r="7" spans="2:16" x14ac:dyDescent="0.25">
      <c r="B7" s="55" t="s">
        <v>157</v>
      </c>
      <c r="C7" s="55"/>
      <c r="D7" s="55"/>
      <c r="E7" s="55"/>
      <c r="F7" s="55"/>
      <c r="G7" s="55"/>
      <c r="H7" s="55" t="s">
        <v>163</v>
      </c>
      <c r="I7" s="55" t="s">
        <v>163</v>
      </c>
      <c r="J7" s="55" t="s">
        <v>166</v>
      </c>
      <c r="K7" s="55" t="s">
        <v>186</v>
      </c>
    </row>
    <row r="8" spans="2:16" ht="17.25" x14ac:dyDescent="0.25">
      <c r="B8" s="56" t="s">
        <v>159</v>
      </c>
      <c r="C8" s="56"/>
      <c r="D8" s="56" t="s">
        <v>160</v>
      </c>
      <c r="E8" s="56" t="s">
        <v>161</v>
      </c>
      <c r="F8" s="56" t="s">
        <v>162</v>
      </c>
      <c r="G8" s="56" t="s">
        <v>262</v>
      </c>
      <c r="H8" s="56" t="s">
        <v>164</v>
      </c>
      <c r="I8" s="56" t="s">
        <v>165</v>
      </c>
      <c r="J8" s="56" t="s">
        <v>263</v>
      </c>
      <c r="K8" s="56" t="s">
        <v>264</v>
      </c>
    </row>
    <row r="10" spans="2:16" x14ac:dyDescent="0.25">
      <c r="B10" s="52" t="s">
        <v>232</v>
      </c>
      <c r="C10" s="52"/>
      <c r="D10" s="52" t="s">
        <v>167</v>
      </c>
      <c r="E10" s="80">
        <f>'Beta Comps'!F3</f>
        <v>10932</v>
      </c>
      <c r="F10" s="80">
        <f>'Beta Comps'!E3</f>
        <v>1066286.6200000001</v>
      </c>
      <c r="G10" s="53">
        <v>0.3</v>
      </c>
      <c r="H10" s="51">
        <f>E10/F10</f>
        <v>1.0252402867064015E-2</v>
      </c>
      <c r="I10" s="51">
        <f>E10/(F10+E10)</f>
        <v>1.0148357814312566E-2</v>
      </c>
      <c r="J10" s="82">
        <f>'Bata - Regression'!AA18</f>
        <v>-0.72507980098694613</v>
      </c>
      <c r="K10" s="54">
        <f>J10/(1+(1-G10)*H10)</f>
        <v>-0.7199132127861817</v>
      </c>
    </row>
    <row r="11" spans="2:16" x14ac:dyDescent="0.25">
      <c r="B11" s="52" t="s">
        <v>233</v>
      </c>
      <c r="C11" s="52"/>
      <c r="D11" s="52" t="s">
        <v>167</v>
      </c>
      <c r="E11" s="80">
        <f>'Beta Comps'!F4</f>
        <v>8796</v>
      </c>
      <c r="F11" s="80">
        <f>'Beta Comps'!E4</f>
        <v>607005.1</v>
      </c>
      <c r="G11" s="53">
        <v>0.3</v>
      </c>
      <c r="H11" s="51">
        <f>E11/F11</f>
        <v>1.449081729296838E-2</v>
      </c>
      <c r="I11" s="51">
        <f t="shared" ref="I11:I14" si="0">E11/(F11+E11)</f>
        <v>1.4283832880454419E-2</v>
      </c>
      <c r="J11" s="82">
        <f>'Bata - Regression'!J18</f>
        <v>-0.55864318911493416</v>
      </c>
      <c r="K11" s="54">
        <f t="shared" ref="K11:K13" si="1">J11/(1+(1-G11)*H11)</f>
        <v>-0.55303345439377072</v>
      </c>
    </row>
    <row r="12" spans="2:16" x14ac:dyDescent="0.25">
      <c r="B12" s="52" t="s">
        <v>234</v>
      </c>
      <c r="C12" s="52"/>
      <c r="D12" s="52" t="s">
        <v>167</v>
      </c>
      <c r="E12" s="80">
        <f>'Beta Comps'!F5</f>
        <v>6780</v>
      </c>
      <c r="F12" s="80">
        <f>'Beta Comps'!E5</f>
        <v>434403.52</v>
      </c>
      <c r="G12" s="53">
        <v>0.3</v>
      </c>
      <c r="H12" s="51">
        <f t="shared" ref="H12:H13" si="2">E12/F12</f>
        <v>1.5607608336138713E-2</v>
      </c>
      <c r="I12" s="51">
        <f t="shared" si="0"/>
        <v>1.5367754443774327E-2</v>
      </c>
      <c r="J12" s="82">
        <f>'Bata - Regression'!AR18</f>
        <v>-0.69639833259713557</v>
      </c>
      <c r="K12" s="54">
        <f t="shared" si="1"/>
        <v>-0.68887217957639224</v>
      </c>
    </row>
    <row r="13" spans="2:16" x14ac:dyDescent="0.25">
      <c r="B13" s="52" t="s">
        <v>235</v>
      </c>
      <c r="C13" s="52"/>
      <c r="D13" s="52" t="s">
        <v>167</v>
      </c>
      <c r="E13" s="80">
        <f>'Beta Comps'!F6</f>
        <v>16163.7</v>
      </c>
      <c r="F13" s="80">
        <f>'Beta Comps'!E6</f>
        <v>241313.87</v>
      </c>
      <c r="G13" s="53">
        <v>0.3</v>
      </c>
      <c r="H13" s="51">
        <f t="shared" si="2"/>
        <v>6.6982059506152714E-2</v>
      </c>
      <c r="I13" s="51">
        <f t="shared" si="0"/>
        <v>6.2777118799124912E-2</v>
      </c>
      <c r="J13" s="82">
        <f>'Bata - Regression'!BI18</f>
        <v>-0.36690987607974829</v>
      </c>
      <c r="K13" s="54">
        <f t="shared" si="1"/>
        <v>-0.35047691039253653</v>
      </c>
    </row>
    <row r="14" spans="2:16" x14ac:dyDescent="0.25">
      <c r="B14" s="52" t="s">
        <v>236</v>
      </c>
      <c r="C14" s="52"/>
      <c r="D14" s="52" t="s">
        <v>167</v>
      </c>
      <c r="E14" s="80">
        <f>'Beta Comps'!F7</f>
        <v>2382.6</v>
      </c>
      <c r="F14" s="80">
        <f>'Beta Comps'!E7</f>
        <v>166799.73000000001</v>
      </c>
      <c r="G14" s="53">
        <v>0.3</v>
      </c>
      <c r="H14" s="51">
        <f>E14/F14</f>
        <v>1.4284195783770152E-2</v>
      </c>
      <c r="I14" s="51">
        <f t="shared" si="0"/>
        <v>1.4083031011571951E-2</v>
      </c>
      <c r="J14" s="82">
        <f>'Bata - Regression'!BZ18</f>
        <v>-0.42203533639380342</v>
      </c>
      <c r="K14" s="54">
        <f>J14/(1+(1-G14)*H14)</f>
        <v>-0.41785720847098201</v>
      </c>
    </row>
    <row r="16" spans="2:16" x14ac:dyDescent="0.25">
      <c r="F16" s="55" t="s">
        <v>168</v>
      </c>
      <c r="G16" s="57">
        <f>AVERAGE(G10:G14)</f>
        <v>0.3</v>
      </c>
      <c r="H16" s="59">
        <f t="shared" ref="H16:K16" si="3">AVERAGE(H10:H14)</f>
        <v>2.4323416757218795E-2</v>
      </c>
      <c r="I16" s="59">
        <f t="shared" si="3"/>
        <v>2.3332018989847634E-2</v>
      </c>
      <c r="J16" s="83">
        <f>AVERAGE(J10:J14)</f>
        <v>-0.55381330703451359</v>
      </c>
      <c r="K16" s="61">
        <f t="shared" si="3"/>
        <v>-0.54603059312397262</v>
      </c>
    </row>
    <row r="17" spans="2:11" x14ac:dyDescent="0.25">
      <c r="F17" s="56" t="s">
        <v>146</v>
      </c>
      <c r="G17" s="58">
        <f>MEDIAN(G10:G14)</f>
        <v>0.3</v>
      </c>
      <c r="H17" s="60">
        <f t="shared" ref="H17:K17" si="4">MEDIAN(H10:H14)</f>
        <v>1.449081729296838E-2</v>
      </c>
      <c r="I17" s="60">
        <f t="shared" si="4"/>
        <v>1.4283832880454419E-2</v>
      </c>
      <c r="J17" s="84">
        <f>MEDIAN(J10:J14)</f>
        <v>-0.55864318911493416</v>
      </c>
      <c r="K17" s="62">
        <f t="shared" si="4"/>
        <v>-0.55303345439377072</v>
      </c>
    </row>
    <row r="20" spans="2:11" x14ac:dyDescent="0.25">
      <c r="B20" s="56" t="s">
        <v>169</v>
      </c>
      <c r="C20" s="50"/>
      <c r="D20" s="50"/>
      <c r="E20" s="50"/>
      <c r="G20" s="56" t="s">
        <v>173</v>
      </c>
      <c r="H20" s="50"/>
      <c r="I20" s="50"/>
      <c r="J20" s="50"/>
      <c r="K20" s="50"/>
    </row>
    <row r="22" spans="2:11" x14ac:dyDescent="0.25">
      <c r="B22" t="s">
        <v>170</v>
      </c>
      <c r="E22" s="85">
        <f>416/E11</f>
        <v>4.7294224647567079E-2</v>
      </c>
      <c r="G22" t="s">
        <v>174</v>
      </c>
      <c r="K22" s="53">
        <v>7.3910000000000003E-2</v>
      </c>
    </row>
    <row r="23" spans="2:11" x14ac:dyDescent="0.25">
      <c r="B23" t="s">
        <v>171</v>
      </c>
      <c r="E23" s="85">
        <f>G17</f>
        <v>0.3</v>
      </c>
      <c r="G23" t="s">
        <v>175</v>
      </c>
      <c r="K23" s="85">
        <f>Rm!G7-WACC!K22</f>
        <v>7.75823076923077E-2</v>
      </c>
    </row>
    <row r="24" spans="2:11" ht="17.25" x14ac:dyDescent="0.25">
      <c r="B24" s="92" t="s">
        <v>172</v>
      </c>
      <c r="C24" s="92"/>
      <c r="D24" s="92"/>
      <c r="E24" s="93">
        <f>E22*(1-E23)</f>
        <v>3.3105957253296951E-2</v>
      </c>
      <c r="G24" t="s">
        <v>176</v>
      </c>
      <c r="K24" s="68">
        <f>K33</f>
        <v>-0.56228160332214394</v>
      </c>
    </row>
    <row r="25" spans="2:11" x14ac:dyDescent="0.25">
      <c r="G25" s="92" t="s">
        <v>173</v>
      </c>
      <c r="H25" s="92"/>
      <c r="I25" s="92"/>
      <c r="J25" s="92"/>
      <c r="K25" s="93">
        <f>K22+(K23*K24)</f>
        <v>3.0286895641337332E-2</v>
      </c>
    </row>
    <row r="28" spans="2:11" x14ac:dyDescent="0.25">
      <c r="B28" s="56" t="s">
        <v>177</v>
      </c>
      <c r="C28" s="50"/>
      <c r="D28" s="50"/>
      <c r="E28" s="50"/>
      <c r="G28" s="56" t="s">
        <v>182</v>
      </c>
      <c r="H28" s="50"/>
      <c r="I28" s="50"/>
      <c r="J28" s="50"/>
      <c r="K28" s="50"/>
    </row>
    <row r="30" spans="2:11" x14ac:dyDescent="0.25">
      <c r="D30" s="65" t="s">
        <v>178</v>
      </c>
      <c r="E30" s="65" t="s">
        <v>179</v>
      </c>
      <c r="G30" t="s">
        <v>183</v>
      </c>
      <c r="K30" s="68">
        <f>K17</f>
        <v>-0.55303345439377072</v>
      </c>
    </row>
    <row r="31" spans="2:11" x14ac:dyDescent="0.25">
      <c r="B31" t="s">
        <v>180</v>
      </c>
      <c r="C31" s="80">
        <f>E11</f>
        <v>8796</v>
      </c>
      <c r="D31" s="19">
        <f>C31/$C$33</f>
        <v>1.4283832880454419E-2</v>
      </c>
      <c r="E31" s="85">
        <f>I16</f>
        <v>2.3332018989847634E-2</v>
      </c>
      <c r="G31" t="s">
        <v>184</v>
      </c>
      <c r="K31" s="40">
        <f>E35</f>
        <v>2.3889407089721208E-2</v>
      </c>
    </row>
    <row r="32" spans="2:11" x14ac:dyDescent="0.25">
      <c r="B32" t="s">
        <v>44</v>
      </c>
      <c r="C32" s="80">
        <f>F11</f>
        <v>607005.1</v>
      </c>
      <c r="D32" s="19">
        <f t="shared" ref="D32" si="5">C32/$C$33</f>
        <v>0.98571616711954557</v>
      </c>
      <c r="E32" s="40">
        <f>E33-E31</f>
        <v>0.9766679810101524</v>
      </c>
      <c r="G32" t="s">
        <v>171</v>
      </c>
      <c r="K32" s="40">
        <f>E23</f>
        <v>0.3</v>
      </c>
    </row>
    <row r="33" spans="2:11" x14ac:dyDescent="0.25">
      <c r="B33" s="63" t="s">
        <v>181</v>
      </c>
      <c r="C33" s="70">
        <f>SUM(C31:C32)</f>
        <v>615801.1</v>
      </c>
      <c r="D33" s="66">
        <f>C33/$C$33</f>
        <v>1</v>
      </c>
      <c r="E33" s="64">
        <f>D33</f>
        <v>1</v>
      </c>
      <c r="G33" s="63" t="s">
        <v>182</v>
      </c>
      <c r="H33" s="63"/>
      <c r="I33" s="63"/>
      <c r="J33" s="63"/>
      <c r="K33" s="69">
        <f>K30*(1+(1-K32)*K31)</f>
        <v>-0.56228160332214394</v>
      </c>
    </row>
    <row r="35" spans="2:11" x14ac:dyDescent="0.25">
      <c r="B35" t="s">
        <v>185</v>
      </c>
      <c r="D35" s="67">
        <f>D31/D32</f>
        <v>1.4490817292968378E-2</v>
      </c>
      <c r="E35" s="67">
        <f>E31/E32</f>
        <v>2.3889407089721208E-2</v>
      </c>
      <c r="G35" s="56" t="s">
        <v>155</v>
      </c>
      <c r="H35" s="50"/>
      <c r="I35" s="50"/>
      <c r="J35" s="50"/>
      <c r="K35" s="50"/>
    </row>
    <row r="37" spans="2:11" x14ac:dyDescent="0.25">
      <c r="B37" s="71" t="s">
        <v>187</v>
      </c>
      <c r="G37" t="s">
        <v>173</v>
      </c>
      <c r="K37" s="40">
        <f>K25</f>
        <v>3.0286895641337332E-2</v>
      </c>
    </row>
    <row r="38" spans="2:11" x14ac:dyDescent="0.25">
      <c r="B38" s="72" t="s">
        <v>188</v>
      </c>
      <c r="G38" t="s">
        <v>259</v>
      </c>
      <c r="K38" s="40">
        <f>E32</f>
        <v>0.9766679810101524</v>
      </c>
    </row>
    <row r="39" spans="2:11" x14ac:dyDescent="0.25">
      <c r="B39" s="72" t="s">
        <v>189</v>
      </c>
    </row>
    <row r="40" spans="2:11" x14ac:dyDescent="0.25">
      <c r="B40" s="72" t="s">
        <v>190</v>
      </c>
      <c r="G40" t="s">
        <v>169</v>
      </c>
      <c r="K40" s="40">
        <f>E24</f>
        <v>3.3105957253296951E-2</v>
      </c>
    </row>
    <row r="41" spans="2:11" x14ac:dyDescent="0.25">
      <c r="B41" s="72" t="s">
        <v>191</v>
      </c>
      <c r="G41" t="s">
        <v>260</v>
      </c>
      <c r="K41" s="40">
        <f>E31</f>
        <v>2.3332018989847634E-2</v>
      </c>
    </row>
    <row r="43" spans="2:11" x14ac:dyDescent="0.25">
      <c r="G43" s="90" t="s">
        <v>261</v>
      </c>
      <c r="H43" s="90"/>
      <c r="I43" s="90"/>
      <c r="J43" s="90"/>
      <c r="K43" s="91">
        <f>(K37*K38)+(K40*K41)</f>
        <v>3.0352670040401125E-2</v>
      </c>
    </row>
  </sheetData>
  <pageMargins left="0.7" right="0.7" top="0.75" bottom="0.75" header="0.3" footer="0.3"/>
  <pageSetup paperSize="3" scale="9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D7E51-D70A-4D90-9F14-D56BB0265417}">
  <dimension ref="A2:K62"/>
  <sheetViews>
    <sheetView showGridLines="0" topLeftCell="A43" workbookViewId="0">
      <selection activeCell="H60" sqref="H60"/>
    </sheetView>
  </sheetViews>
  <sheetFormatPr defaultRowHeight="15" x14ac:dyDescent="0.25"/>
  <cols>
    <col min="1" max="1" width="1.85546875" customWidth="1"/>
    <col min="2" max="2" width="19" customWidth="1"/>
    <col min="7" max="7" width="12.28515625" bestFit="1" customWidth="1"/>
    <col min="8" max="9" width="9.5703125" bestFit="1" customWidth="1"/>
    <col min="10" max="10" width="14.28515625" bestFit="1" customWidth="1"/>
    <col min="11" max="11" width="9.5703125" bestFit="1" customWidth="1"/>
  </cols>
  <sheetData>
    <row r="2" spans="1:11" x14ac:dyDescent="0.25">
      <c r="A2" t="s">
        <v>56</v>
      </c>
      <c r="B2" s="113" t="s">
        <v>292</v>
      </c>
      <c r="C2" s="112"/>
      <c r="D2" s="112"/>
      <c r="E2" s="112"/>
      <c r="F2" s="112"/>
      <c r="G2" s="101">
        <f>'Raw FS'!J3</f>
        <v>44256</v>
      </c>
      <c r="H2" s="101">
        <f>'Raw FS'!K3</f>
        <v>44621</v>
      </c>
      <c r="I2" s="101">
        <f>'Raw FS'!L3</f>
        <v>44986</v>
      </c>
      <c r="J2" s="101">
        <f>'Raw FS'!M3</f>
        <v>45352</v>
      </c>
      <c r="K2" s="101">
        <f>'Raw FS'!N3</f>
        <v>45717</v>
      </c>
    </row>
    <row r="4" spans="1:11" x14ac:dyDescent="0.25">
      <c r="B4" s="2" t="s">
        <v>293</v>
      </c>
    </row>
    <row r="5" spans="1:11" x14ac:dyDescent="0.25">
      <c r="B5" s="115" t="str">
        <f>'Raw FS'!B34</f>
        <v>Trade receivables</v>
      </c>
      <c r="C5" s="115"/>
      <c r="D5" s="115"/>
      <c r="E5" s="115"/>
      <c r="F5" s="115"/>
      <c r="G5" s="106">
        <f>'Raw FS'!J34</f>
        <v>19294</v>
      </c>
      <c r="H5" s="106">
        <f>'Raw FS'!K34</f>
        <v>22698</v>
      </c>
      <c r="I5" s="106">
        <f>'Raw FS'!L34</f>
        <v>25424</v>
      </c>
      <c r="J5" s="106">
        <f>'Raw FS'!M34</f>
        <v>30193</v>
      </c>
      <c r="K5" s="106">
        <f>'Raw FS'!N34</f>
        <v>31158</v>
      </c>
    </row>
    <row r="6" spans="1:11" x14ac:dyDescent="0.25">
      <c r="B6" s="115" t="str">
        <f>'Raw FS'!B36</f>
        <v>Loans n Advances</v>
      </c>
      <c r="C6" s="115"/>
      <c r="D6" s="115"/>
      <c r="E6" s="115"/>
      <c r="F6" s="115"/>
      <c r="G6" s="106">
        <f>'Raw FS'!J36</f>
        <v>1460</v>
      </c>
      <c r="H6" s="106">
        <f>'Raw FS'!K36</f>
        <v>2491</v>
      </c>
      <c r="I6" s="106">
        <f>'Raw FS'!L36</f>
        <v>3242</v>
      </c>
      <c r="J6" s="106">
        <f>'Raw FS'!M36</f>
        <v>10330</v>
      </c>
      <c r="K6" s="106">
        <f>'Raw FS'!N36</f>
        <v>6717</v>
      </c>
    </row>
    <row r="7" spans="1:11" x14ac:dyDescent="0.25">
      <c r="B7" t="str">
        <f>'Raw FS'!B37</f>
        <v>Other asset items</v>
      </c>
      <c r="G7" s="103">
        <f>'Raw FS'!J37</f>
        <v>21411</v>
      </c>
      <c r="H7" s="103">
        <f>'Raw FS'!K37</f>
        <v>27528</v>
      </c>
      <c r="I7" s="103">
        <f>'Raw FS'!L37</f>
        <v>34766</v>
      </c>
      <c r="J7" s="103">
        <f>'Raw FS'!M37</f>
        <v>29513</v>
      </c>
      <c r="K7" s="103">
        <f>'Raw FS'!N37</f>
        <v>30149</v>
      </c>
    </row>
    <row r="8" spans="1:11" x14ac:dyDescent="0.25">
      <c r="B8" s="109" t="s">
        <v>294</v>
      </c>
      <c r="C8" s="114"/>
      <c r="D8" s="114"/>
      <c r="E8" s="114"/>
      <c r="F8" s="114"/>
      <c r="G8" s="110">
        <f>SUM(G5:G7)</f>
        <v>42165</v>
      </c>
      <c r="H8" s="110">
        <f t="shared" ref="H8:K8" si="0">SUM(H5:H7)</f>
        <v>52717</v>
      </c>
      <c r="I8" s="110">
        <f t="shared" si="0"/>
        <v>63432</v>
      </c>
      <c r="J8" s="110">
        <f t="shared" si="0"/>
        <v>70036</v>
      </c>
      <c r="K8" s="110">
        <f t="shared" si="0"/>
        <v>68024</v>
      </c>
    </row>
    <row r="9" spans="1:11" x14ac:dyDescent="0.25">
      <c r="G9" s="103"/>
      <c r="H9" s="103"/>
      <c r="I9" s="103"/>
      <c r="J9" s="103"/>
      <c r="K9" s="103"/>
    </row>
    <row r="10" spans="1:11" x14ac:dyDescent="0.25">
      <c r="B10" s="2" t="s">
        <v>295</v>
      </c>
      <c r="G10" s="103"/>
      <c r="H10" s="103"/>
      <c r="I10" s="103"/>
      <c r="J10" s="103"/>
      <c r="K10" s="103"/>
    </row>
    <row r="11" spans="1:11" x14ac:dyDescent="0.25">
      <c r="B11" s="115" t="str">
        <f>'Raw FS'!B11</f>
        <v>Trade Payables</v>
      </c>
      <c r="C11" s="115"/>
      <c r="D11" s="115"/>
      <c r="E11" s="115"/>
      <c r="F11" s="115"/>
      <c r="G11" s="106">
        <f>'Raw FS'!J11</f>
        <v>2645</v>
      </c>
      <c r="H11" s="106">
        <f>'Raw FS'!K11</f>
        <v>4134</v>
      </c>
      <c r="I11" s="106">
        <f>'Raw FS'!L11</f>
        <v>3865</v>
      </c>
      <c r="J11" s="106">
        <f>'Raw FS'!M11</f>
        <v>3956</v>
      </c>
      <c r="K11" s="106">
        <f>'Raw FS'!N11</f>
        <v>4164</v>
      </c>
    </row>
    <row r="12" spans="1:11" x14ac:dyDescent="0.25">
      <c r="B12" s="115" t="str">
        <f>'Raw FS'!B12</f>
        <v>Advance from Customers</v>
      </c>
      <c r="C12" s="115"/>
      <c r="D12" s="115"/>
      <c r="E12" s="115"/>
      <c r="F12" s="115"/>
      <c r="G12" s="106">
        <f>'Raw FS'!J12</f>
        <v>0</v>
      </c>
      <c r="H12" s="106">
        <f>'Raw FS'!K12</f>
        <v>0</v>
      </c>
      <c r="I12" s="106">
        <f>'Raw FS'!L12</f>
        <v>0</v>
      </c>
      <c r="J12" s="106">
        <f>'Raw FS'!M12</f>
        <v>0</v>
      </c>
      <c r="K12" s="106">
        <f>'Raw FS'!N12</f>
        <v>0</v>
      </c>
    </row>
    <row r="13" spans="1:11" x14ac:dyDescent="0.25">
      <c r="B13" s="115" t="str">
        <f>'Raw FS'!B13</f>
        <v>Other liability items</v>
      </c>
      <c r="G13" s="106">
        <f>'Raw FS'!J13</f>
        <v>22759</v>
      </c>
      <c r="H13" s="106">
        <f>'Raw FS'!K13</f>
        <v>31385</v>
      </c>
      <c r="I13" s="106">
        <f>'Raw FS'!L13</f>
        <v>36637</v>
      </c>
      <c r="J13" s="106">
        <f>'Raw FS'!M13</f>
        <v>36584</v>
      </c>
      <c r="K13" s="106">
        <f>'Raw FS'!N13</f>
        <v>39201</v>
      </c>
    </row>
    <row r="14" spans="1:11" x14ac:dyDescent="0.25">
      <c r="B14" s="109" t="s">
        <v>296</v>
      </c>
      <c r="C14" s="114"/>
      <c r="D14" s="114"/>
      <c r="E14" s="114"/>
      <c r="F14" s="114"/>
      <c r="G14" s="110">
        <f>SUM(G11:G13)</f>
        <v>25404</v>
      </c>
      <c r="H14" s="110">
        <f t="shared" ref="H14" si="1">SUM(H11:H13)</f>
        <v>35519</v>
      </c>
      <c r="I14" s="110">
        <f>SUM(I11:I13)</f>
        <v>40502</v>
      </c>
      <c r="J14" s="110">
        <f>SUM(J11:J13)</f>
        <v>40540</v>
      </c>
      <c r="K14" s="110">
        <f>SUM(K11:K13)</f>
        <v>43365</v>
      </c>
    </row>
    <row r="15" spans="1:11" x14ac:dyDescent="0.25">
      <c r="G15" s="103"/>
      <c r="H15" s="103"/>
      <c r="I15" s="103"/>
      <c r="J15" s="103"/>
      <c r="K15" s="103"/>
    </row>
    <row r="16" spans="1:11" ht="15.75" thickBot="1" x14ac:dyDescent="0.3">
      <c r="A16" s="20" t="s">
        <v>56</v>
      </c>
      <c r="B16" s="116" t="s">
        <v>297</v>
      </c>
      <c r="C16" s="116"/>
      <c r="D16" s="116"/>
      <c r="E16" s="116"/>
      <c r="F16" s="116"/>
      <c r="G16" s="118">
        <f>G8-G14</f>
        <v>16761</v>
      </c>
      <c r="H16" s="118">
        <f t="shared" ref="H16:K16" si="2">H8-H14</f>
        <v>17198</v>
      </c>
      <c r="I16" s="118">
        <f t="shared" si="2"/>
        <v>22930</v>
      </c>
      <c r="J16" s="118">
        <f t="shared" si="2"/>
        <v>29496</v>
      </c>
      <c r="K16" s="118">
        <f t="shared" si="2"/>
        <v>24659</v>
      </c>
    </row>
    <row r="17" spans="1:11" x14ac:dyDescent="0.25">
      <c r="G17" s="103"/>
      <c r="H17" s="103"/>
      <c r="I17" s="103"/>
      <c r="J17" s="103"/>
      <c r="K17" s="103"/>
    </row>
    <row r="18" spans="1:11" x14ac:dyDescent="0.25">
      <c r="B18" s="2" t="s">
        <v>298</v>
      </c>
      <c r="G18" s="103"/>
      <c r="H18" s="103"/>
      <c r="I18" s="103"/>
      <c r="J18" s="103"/>
      <c r="K18" s="103"/>
    </row>
    <row r="19" spans="1:11" x14ac:dyDescent="0.25">
      <c r="B19" s="115" t="str">
        <f>'Raw FS'!B17</f>
        <v>Land</v>
      </c>
      <c r="C19" s="115"/>
      <c r="D19" s="115"/>
      <c r="E19" s="115"/>
      <c r="F19" s="115"/>
      <c r="G19" s="106">
        <f>'Raw FS'!J17</f>
        <v>2036</v>
      </c>
      <c r="H19" s="106">
        <f>'Raw FS'!K17</f>
        <v>2065</v>
      </c>
      <c r="I19" s="106">
        <f>'Raw FS'!L17</f>
        <v>2054</v>
      </c>
      <c r="J19" s="106">
        <f>'Raw FS'!M17</f>
        <v>2037</v>
      </c>
      <c r="K19" s="106">
        <f>'Raw FS'!N17</f>
        <v>2079</v>
      </c>
    </row>
    <row r="20" spans="1:11" x14ac:dyDescent="0.25">
      <c r="B20" s="115" t="str">
        <f>'Raw FS'!B18</f>
        <v>Building</v>
      </c>
      <c r="C20" s="115"/>
      <c r="D20" s="115"/>
      <c r="E20" s="115"/>
      <c r="F20" s="115"/>
      <c r="G20" s="106">
        <f>'Raw FS'!J18</f>
        <v>16328</v>
      </c>
      <c r="H20" s="106">
        <f>'Raw FS'!K18</f>
        <v>16761</v>
      </c>
      <c r="I20" s="106">
        <f>'Raw FS'!L18</f>
        <v>16903</v>
      </c>
      <c r="J20" s="106">
        <f>'Raw FS'!M18</f>
        <v>16515</v>
      </c>
      <c r="K20" s="106">
        <f>'Raw FS'!N18</f>
        <v>16376</v>
      </c>
    </row>
    <row r="21" spans="1:11" x14ac:dyDescent="0.25">
      <c r="B21" s="115" t="str">
        <f>'Raw FS'!B19</f>
        <v>Plant Machinery</v>
      </c>
      <c r="C21" s="115"/>
      <c r="D21" s="115"/>
      <c r="E21" s="115"/>
      <c r="F21" s="115"/>
      <c r="G21" s="106">
        <f>'Raw FS'!J19</f>
        <v>3296</v>
      </c>
      <c r="H21" s="106">
        <f>'Raw FS'!K19</f>
        <v>3210</v>
      </c>
      <c r="I21" s="106">
        <f>'Raw FS'!L19</f>
        <v>3302</v>
      </c>
      <c r="J21" s="106">
        <f>'Raw FS'!M19</f>
        <v>3428</v>
      </c>
      <c r="K21" s="106">
        <f>'Raw FS'!N19</f>
        <v>3461</v>
      </c>
    </row>
    <row r="22" spans="1:11" x14ac:dyDescent="0.25">
      <c r="B22" s="115" t="str">
        <f>'Raw FS'!B20</f>
        <v>Equipments</v>
      </c>
      <c r="C22" s="115"/>
      <c r="D22" s="115"/>
      <c r="E22" s="115"/>
      <c r="F22" s="115"/>
      <c r="G22" s="106">
        <f>'Raw FS'!J20</f>
        <v>1371</v>
      </c>
      <c r="H22" s="106">
        <f>'Raw FS'!K20</f>
        <v>1427</v>
      </c>
      <c r="I22" s="106">
        <f>'Raw FS'!L20</f>
        <v>1482</v>
      </c>
      <c r="J22" s="106">
        <f>'Raw FS'!M20</f>
        <v>1528</v>
      </c>
      <c r="K22" s="106">
        <f>'Raw FS'!N20</f>
        <v>1628</v>
      </c>
    </row>
    <row r="23" spans="1:11" x14ac:dyDescent="0.25">
      <c r="B23" s="115" t="str">
        <f>'Raw FS'!B21</f>
        <v>Computers</v>
      </c>
      <c r="C23" s="115"/>
      <c r="D23" s="115"/>
      <c r="E23" s="115"/>
      <c r="F23" s="115"/>
      <c r="G23" s="106">
        <f>'Raw FS'!J21</f>
        <v>8650</v>
      </c>
      <c r="H23" s="106">
        <f>'Raw FS'!K21</f>
        <v>9936</v>
      </c>
      <c r="I23" s="106">
        <f>'Raw FS'!L21</f>
        <v>11898</v>
      </c>
      <c r="J23" s="106">
        <f>'Raw FS'!M21</f>
        <v>12353</v>
      </c>
      <c r="K23" s="106">
        <f>'Raw FS'!N21</f>
        <v>12925</v>
      </c>
    </row>
    <row r="24" spans="1:11" x14ac:dyDescent="0.25">
      <c r="B24" s="115" t="str">
        <f>'Raw FS'!B22</f>
        <v>Furniture n fittings</v>
      </c>
      <c r="C24" s="115"/>
      <c r="D24" s="115"/>
      <c r="E24" s="115"/>
      <c r="F24" s="115"/>
      <c r="G24" s="106">
        <f>'Raw FS'!J22</f>
        <v>2149</v>
      </c>
      <c r="H24" s="106">
        <f>'Raw FS'!K22</f>
        <v>2279</v>
      </c>
      <c r="I24" s="106">
        <f>'Raw FS'!L22</f>
        <v>2303</v>
      </c>
      <c r="J24" s="106">
        <f>'Raw FS'!M22</f>
        <v>2326</v>
      </c>
      <c r="K24" s="106">
        <f>'Raw FS'!N22</f>
        <v>2340</v>
      </c>
    </row>
    <row r="25" spans="1:11" x14ac:dyDescent="0.25">
      <c r="B25" s="115" t="str">
        <f>'Raw FS'!B23</f>
        <v>Vehicles</v>
      </c>
      <c r="C25" s="115"/>
      <c r="D25" s="115"/>
      <c r="E25" s="115"/>
      <c r="F25" s="115"/>
      <c r="G25" s="106">
        <f>'Raw FS'!J23</f>
        <v>74</v>
      </c>
      <c r="H25" s="106">
        <f>'Raw FS'!K23</f>
        <v>71</v>
      </c>
      <c r="I25" s="106">
        <f>'Raw FS'!L23</f>
        <v>60</v>
      </c>
      <c r="J25" s="106">
        <f>'Raw FS'!M23</f>
        <v>62</v>
      </c>
      <c r="K25" s="106">
        <f>'Raw FS'!N23</f>
        <v>72</v>
      </c>
    </row>
    <row r="26" spans="1:11" x14ac:dyDescent="0.25">
      <c r="B26" s="115" t="str">
        <f>'Raw FS'!B24</f>
        <v>Intangible Assets</v>
      </c>
      <c r="C26" s="115"/>
      <c r="D26" s="115"/>
      <c r="E26" s="115"/>
      <c r="F26" s="115"/>
      <c r="G26" s="106">
        <f>'Raw FS'!J24</f>
        <v>6372</v>
      </c>
      <c r="H26" s="106">
        <f>'Raw FS'!K24</f>
        <v>6495</v>
      </c>
      <c r="I26" s="106">
        <f>'Raw FS'!L24</f>
        <v>7594</v>
      </c>
      <c r="J26" s="106">
        <f>'Raw FS'!M24</f>
        <v>7653</v>
      </c>
      <c r="K26" s="106">
        <f>'Raw FS'!N24</f>
        <v>10626</v>
      </c>
    </row>
    <row r="27" spans="1:11" x14ac:dyDescent="0.25">
      <c r="B27" t="str">
        <f>'Raw FS'!B25</f>
        <v>Other fixed assets</v>
      </c>
      <c r="C27" s="115"/>
      <c r="D27" s="115"/>
      <c r="E27" s="115"/>
      <c r="F27" s="115"/>
      <c r="G27" s="103">
        <f>'Raw FS'!J25</f>
        <v>2730</v>
      </c>
      <c r="H27" s="103">
        <f>'Raw FS'!K25</f>
        <v>2766</v>
      </c>
      <c r="I27" s="103">
        <f>'Raw FS'!L25</f>
        <v>3281</v>
      </c>
      <c r="J27" s="103">
        <f>'Raw FS'!M25</f>
        <v>3294</v>
      </c>
      <c r="K27" s="103">
        <f>'Raw FS'!N25</f>
        <v>5184</v>
      </c>
    </row>
    <row r="28" spans="1:11" x14ac:dyDescent="0.25">
      <c r="B28" s="109" t="s">
        <v>284</v>
      </c>
      <c r="C28" s="114"/>
      <c r="D28" s="114"/>
      <c r="E28" s="114"/>
      <c r="F28" s="114"/>
      <c r="G28" s="110">
        <f>SUM(G19:G27)</f>
        <v>43006</v>
      </c>
      <c r="H28" s="110">
        <f t="shared" ref="H28:K28" si="3">SUM(H19:H27)</f>
        <v>45010</v>
      </c>
      <c r="I28" s="110">
        <f t="shared" si="3"/>
        <v>48877</v>
      </c>
      <c r="J28" s="110">
        <f t="shared" si="3"/>
        <v>49196</v>
      </c>
      <c r="K28" s="110">
        <f t="shared" si="3"/>
        <v>54691</v>
      </c>
    </row>
    <row r="29" spans="1:11" x14ac:dyDescent="0.25">
      <c r="B29" t="s">
        <v>299</v>
      </c>
      <c r="G29" s="103">
        <f>-'Raw FS'!J27</f>
        <v>-17501</v>
      </c>
      <c r="H29" s="103">
        <f>-'Raw FS'!K27</f>
        <v>-19210</v>
      </c>
      <c r="I29" s="103">
        <f>-'Raw FS'!L27</f>
        <v>-19652</v>
      </c>
      <c r="J29" s="103">
        <f>-'Raw FS'!M27</f>
        <v>-21574</v>
      </c>
      <c r="K29" s="103">
        <f>-'Raw FS'!N27</f>
        <v>-23730</v>
      </c>
    </row>
    <row r="30" spans="1:11" ht="15.75" thickBot="1" x14ac:dyDescent="0.3">
      <c r="A30" t="s">
        <v>56</v>
      </c>
      <c r="B30" s="116" t="s">
        <v>300</v>
      </c>
      <c r="C30" s="116"/>
      <c r="D30" s="116"/>
      <c r="E30" s="116"/>
      <c r="F30" s="116"/>
      <c r="G30" s="118">
        <f>SUM(G28:G29)</f>
        <v>25505</v>
      </c>
      <c r="H30" s="118">
        <f t="shared" ref="H30:J30" si="4">SUM(H28:H29)</f>
        <v>25800</v>
      </c>
      <c r="I30" s="118">
        <f t="shared" si="4"/>
        <v>29225</v>
      </c>
      <c r="J30" s="118">
        <f t="shared" si="4"/>
        <v>27622</v>
      </c>
      <c r="K30" s="118">
        <f>SUM(K28:K29)</f>
        <v>30961</v>
      </c>
    </row>
    <row r="31" spans="1:11" x14ac:dyDescent="0.25">
      <c r="G31" s="103"/>
      <c r="H31" s="103"/>
      <c r="I31" s="103"/>
      <c r="J31" s="103"/>
      <c r="K31" s="103"/>
    </row>
    <row r="32" spans="1:11" x14ac:dyDescent="0.25">
      <c r="A32" t="s">
        <v>56</v>
      </c>
      <c r="B32" s="2" t="s">
        <v>301</v>
      </c>
      <c r="G32" s="105">
        <f>G30+G16</f>
        <v>42266</v>
      </c>
      <c r="H32" s="105">
        <f t="shared" ref="H32:K32" si="5">H30+H16</f>
        <v>42998</v>
      </c>
      <c r="I32" s="105">
        <f t="shared" si="5"/>
        <v>52155</v>
      </c>
      <c r="J32" s="105">
        <f t="shared" si="5"/>
        <v>57118</v>
      </c>
      <c r="K32" s="105">
        <f t="shared" si="5"/>
        <v>55620</v>
      </c>
    </row>
    <row r="33" spans="1:11" x14ac:dyDescent="0.25">
      <c r="A33" s="20" t="s">
        <v>56</v>
      </c>
      <c r="B33" s="2" t="s">
        <v>302</v>
      </c>
      <c r="C33" s="2"/>
      <c r="D33" s="2"/>
      <c r="E33" s="2"/>
      <c r="F33" s="2"/>
      <c r="G33" s="105">
        <f>(HistoricalFS!H27+HistoricalFS!H21)</f>
        <v>24622</v>
      </c>
      <c r="H33" s="105">
        <f>(HistoricalFS!I27+HistoricalFS!I21)</f>
        <v>28015</v>
      </c>
      <c r="I33" s="105">
        <f>(HistoricalFS!J27+HistoricalFS!J21)</f>
        <v>30905</v>
      </c>
      <c r="J33" s="105">
        <f>(HistoricalFS!K27+HistoricalFS!K21)</f>
        <v>31747</v>
      </c>
      <c r="K33" s="105">
        <f>(HistoricalFS!L27+HistoricalFS!L21)</f>
        <v>34424</v>
      </c>
    </row>
    <row r="35" spans="1:11" ht="15.75" thickBot="1" x14ac:dyDescent="0.3">
      <c r="A35" t="s">
        <v>56</v>
      </c>
      <c r="B35" s="116" t="s">
        <v>303</v>
      </c>
      <c r="C35" s="116"/>
      <c r="D35" s="116"/>
      <c r="E35" s="116"/>
      <c r="F35" s="116"/>
      <c r="G35" s="117">
        <f>G33/G32</f>
        <v>0.58254862064070412</v>
      </c>
      <c r="H35" s="117">
        <f t="shared" ref="H35:K35" si="6">H33/H32</f>
        <v>0.65154193218289225</v>
      </c>
      <c r="I35" s="117">
        <f t="shared" si="6"/>
        <v>0.59256063656408786</v>
      </c>
      <c r="J35" s="117">
        <f t="shared" si="6"/>
        <v>0.55581427921145699</v>
      </c>
      <c r="K35" s="117">
        <f t="shared" si="6"/>
        <v>0.61891405969075874</v>
      </c>
    </row>
    <row r="38" spans="1:11" x14ac:dyDescent="0.25">
      <c r="A38" s="20" t="s">
        <v>56</v>
      </c>
      <c r="B38" s="113" t="s">
        <v>304</v>
      </c>
      <c r="C38" s="112"/>
      <c r="D38" s="112"/>
      <c r="E38" s="112"/>
      <c r="F38" s="112"/>
      <c r="G38" s="101">
        <f>G2</f>
        <v>44256</v>
      </c>
      <c r="H38" s="101">
        <f t="shared" ref="H38:K38" si="7">H2</f>
        <v>44621</v>
      </c>
      <c r="I38" s="101">
        <f t="shared" si="7"/>
        <v>44986</v>
      </c>
      <c r="J38" s="101">
        <f t="shared" si="7"/>
        <v>45352</v>
      </c>
      <c r="K38" s="101">
        <f t="shared" si="7"/>
        <v>45717</v>
      </c>
    </row>
    <row r="40" spans="1:11" x14ac:dyDescent="0.25">
      <c r="B40" s="115" t="s">
        <v>305</v>
      </c>
      <c r="C40" s="115"/>
      <c r="D40" s="115"/>
      <c r="E40" s="115"/>
      <c r="F40" s="115"/>
      <c r="G40" s="106">
        <f>-SUM('Raw FS'!J53:J54)</f>
        <v>2107</v>
      </c>
      <c r="H40" s="106">
        <f>-SUM('Raw FS'!K53:K54)</f>
        <v>2161</v>
      </c>
      <c r="I40" s="106">
        <f>-SUM('Raw FS'!L53:L54)</f>
        <v>2579</v>
      </c>
      <c r="J40" s="106">
        <f>-SUM('Raw FS'!M53:M54)</f>
        <v>2201</v>
      </c>
      <c r="K40" s="106">
        <f>-SUM('Raw FS'!N53:N54)</f>
        <v>2237</v>
      </c>
    </row>
    <row r="41" spans="1:11" x14ac:dyDescent="0.25">
      <c r="B41" s="115" t="s">
        <v>306</v>
      </c>
      <c r="C41" s="115"/>
      <c r="D41" s="115"/>
      <c r="E41" s="115"/>
      <c r="F41" s="115"/>
      <c r="G41" s="106"/>
      <c r="H41" s="106">
        <f>H16-G16</f>
        <v>437</v>
      </c>
      <c r="I41" s="106">
        <f t="shared" ref="I41:J41" si="8">I16-H16</f>
        <v>5732</v>
      </c>
      <c r="J41" s="106">
        <f t="shared" si="8"/>
        <v>6566</v>
      </c>
      <c r="K41" s="106">
        <f>K16-J16</f>
        <v>-4837</v>
      </c>
    </row>
    <row r="42" spans="1:11" x14ac:dyDescent="0.25">
      <c r="B42" s="115"/>
      <c r="C42" s="115"/>
      <c r="D42" s="115"/>
      <c r="E42" s="115"/>
      <c r="F42" s="115"/>
      <c r="G42" s="106"/>
      <c r="H42" s="106"/>
      <c r="I42" s="106"/>
      <c r="J42" s="106"/>
      <c r="K42" s="106"/>
    </row>
    <row r="43" spans="1:11" x14ac:dyDescent="0.25">
      <c r="B43" s="115" t="s">
        <v>302</v>
      </c>
      <c r="C43" s="115"/>
      <c r="D43" s="115"/>
      <c r="E43" s="115"/>
      <c r="F43" s="115"/>
      <c r="G43" s="106">
        <f>G33</f>
        <v>24622</v>
      </c>
      <c r="H43" s="106">
        <f t="shared" ref="H43:K43" si="9">H33</f>
        <v>28015</v>
      </c>
      <c r="I43" s="106">
        <f t="shared" si="9"/>
        <v>30905</v>
      </c>
      <c r="J43" s="106">
        <f t="shared" si="9"/>
        <v>31747</v>
      </c>
      <c r="K43" s="106">
        <f t="shared" si="9"/>
        <v>34424</v>
      </c>
    </row>
    <row r="44" spans="1:11" x14ac:dyDescent="0.25">
      <c r="B44" s="115" t="s">
        <v>307</v>
      </c>
      <c r="C44" s="115"/>
      <c r="D44" s="115"/>
      <c r="E44" s="115"/>
      <c r="F44" s="115"/>
      <c r="G44" s="119">
        <v>0.25</v>
      </c>
      <c r="H44" s="157">
        <f>G44</f>
        <v>0.25</v>
      </c>
      <c r="I44" s="157">
        <f t="shared" ref="I44:K44" si="10">H44</f>
        <v>0.25</v>
      </c>
      <c r="J44" s="157">
        <f t="shared" si="10"/>
        <v>0.25</v>
      </c>
      <c r="K44" s="157">
        <f t="shared" si="10"/>
        <v>0.25</v>
      </c>
    </row>
    <row r="45" spans="1:11" x14ac:dyDescent="0.25">
      <c r="B45" s="115" t="s">
        <v>309</v>
      </c>
      <c r="C45" s="115"/>
      <c r="D45" s="115"/>
      <c r="E45" s="115"/>
      <c r="F45" s="115"/>
      <c r="G45" s="106">
        <f>G43*(1-G44)</f>
        <v>18466.5</v>
      </c>
      <c r="H45" s="106">
        <f t="shared" ref="H45:K45" si="11">H43*(1-H44)</f>
        <v>21011.25</v>
      </c>
      <c r="I45" s="106">
        <f t="shared" si="11"/>
        <v>23178.75</v>
      </c>
      <c r="J45" s="106">
        <f t="shared" si="11"/>
        <v>23810.25</v>
      </c>
      <c r="K45" s="106">
        <f t="shared" si="11"/>
        <v>25818</v>
      </c>
    </row>
    <row r="46" spans="1:11" x14ac:dyDescent="0.25">
      <c r="B46" s="115"/>
      <c r="C46" s="115"/>
      <c r="D46" s="115"/>
      <c r="E46" s="115"/>
      <c r="F46" s="115"/>
      <c r="G46" s="106"/>
      <c r="H46" s="106"/>
      <c r="I46" s="106"/>
      <c r="J46" s="106"/>
      <c r="K46" s="106"/>
    </row>
    <row r="47" spans="1:11" x14ac:dyDescent="0.25">
      <c r="B47" s="115" t="s">
        <v>308</v>
      </c>
      <c r="C47" s="115"/>
      <c r="D47" s="115"/>
      <c r="E47" s="115"/>
      <c r="F47" s="115"/>
      <c r="G47" s="106"/>
      <c r="H47" s="106">
        <f>SUM(H40:H41)</f>
        <v>2598</v>
      </c>
      <c r="I47" s="106">
        <f t="shared" ref="I47:K47" si="12">SUM(I40:I41)</f>
        <v>8311</v>
      </c>
      <c r="J47" s="106">
        <f t="shared" si="12"/>
        <v>8767</v>
      </c>
      <c r="K47" s="106">
        <f t="shared" si="12"/>
        <v>-2600</v>
      </c>
    </row>
    <row r="48" spans="1:11" x14ac:dyDescent="0.25">
      <c r="H48" s="12"/>
      <c r="I48" s="12"/>
      <c r="J48" s="12"/>
      <c r="K48" s="12"/>
    </row>
    <row r="49" spans="1:11" ht="15.75" thickBot="1" x14ac:dyDescent="0.3">
      <c r="B49" s="116" t="s">
        <v>310</v>
      </c>
      <c r="C49" s="116"/>
      <c r="D49" s="116"/>
      <c r="E49" s="116"/>
      <c r="F49" s="116"/>
      <c r="G49" s="116"/>
      <c r="H49" s="117">
        <f>H47/H45</f>
        <v>0.12364804568980903</v>
      </c>
      <c r="I49" s="117">
        <f t="shared" ref="I49:K49" si="13">I47/I45</f>
        <v>0.35856118211724103</v>
      </c>
      <c r="J49" s="117">
        <f t="shared" si="13"/>
        <v>0.36820276981552064</v>
      </c>
      <c r="K49" s="117">
        <f t="shared" si="13"/>
        <v>-0.10070493454179255</v>
      </c>
    </row>
    <row r="50" spans="1:11" x14ac:dyDescent="0.25">
      <c r="H50" s="19"/>
      <c r="I50" s="19"/>
      <c r="J50" s="19"/>
      <c r="K50" s="19"/>
    </row>
    <row r="51" spans="1:11" x14ac:dyDescent="0.25">
      <c r="J51" s="90" t="s">
        <v>311</v>
      </c>
      <c r="K51" s="91">
        <f>AVERAGE(H49:K49)</f>
        <v>0.18742676577019454</v>
      </c>
    </row>
    <row r="52" spans="1:11" x14ac:dyDescent="0.25">
      <c r="J52" s="90" t="s">
        <v>312</v>
      </c>
      <c r="K52" s="91">
        <f>MEDIAN(H49:K49)</f>
        <v>0.24110461390352503</v>
      </c>
    </row>
    <row r="54" spans="1:11" x14ac:dyDescent="0.25">
      <c r="A54" t="s">
        <v>56</v>
      </c>
      <c r="B54" s="113" t="s">
        <v>313</v>
      </c>
      <c r="C54" s="112"/>
      <c r="D54" s="112"/>
      <c r="E54" s="112"/>
      <c r="F54" s="112"/>
      <c r="G54" s="101">
        <f>G38</f>
        <v>44256</v>
      </c>
      <c r="H54" s="101">
        <f t="shared" ref="H54:K54" si="14">H38</f>
        <v>44621</v>
      </c>
      <c r="I54" s="101">
        <f t="shared" si="14"/>
        <v>44986</v>
      </c>
      <c r="J54" s="101">
        <f t="shared" si="14"/>
        <v>45352</v>
      </c>
      <c r="K54" s="101">
        <f t="shared" si="14"/>
        <v>45717</v>
      </c>
    </row>
    <row r="56" spans="1:11" x14ac:dyDescent="0.25">
      <c r="B56" s="115" t="s">
        <v>310</v>
      </c>
      <c r="C56" s="115"/>
      <c r="D56" s="115"/>
      <c r="E56" s="115"/>
      <c r="F56" s="115"/>
      <c r="G56" s="115"/>
      <c r="H56" s="120">
        <f>H49</f>
        <v>0.12364804568980903</v>
      </c>
      <c r="I56" s="120">
        <f t="shared" ref="I56:K56" si="15">I49</f>
        <v>0.35856118211724103</v>
      </c>
      <c r="J56" s="120">
        <f t="shared" si="15"/>
        <v>0.36820276981552064</v>
      </c>
      <c r="K56" s="120">
        <f t="shared" si="15"/>
        <v>-0.10070493454179255</v>
      </c>
    </row>
    <row r="57" spans="1:11" x14ac:dyDescent="0.25">
      <c r="B57" s="115" t="s">
        <v>303</v>
      </c>
      <c r="C57" s="115"/>
      <c r="D57" s="115"/>
      <c r="E57" s="115"/>
      <c r="F57" s="115"/>
      <c r="G57" s="115"/>
      <c r="H57" s="120">
        <f>H35</f>
        <v>0.65154193218289225</v>
      </c>
      <c r="I57" s="120">
        <f t="shared" ref="I57:K57" si="16">I35</f>
        <v>0.59256063656408786</v>
      </c>
      <c r="J57" s="120">
        <f t="shared" si="16"/>
        <v>0.55581427921145699</v>
      </c>
      <c r="K57" s="120">
        <f t="shared" si="16"/>
        <v>0.61891405969075874</v>
      </c>
    </row>
    <row r="59" spans="1:11" ht="15.75" thickBot="1" x14ac:dyDescent="0.3">
      <c r="B59" s="116" t="s">
        <v>314</v>
      </c>
      <c r="C59" s="116"/>
      <c r="D59" s="116"/>
      <c r="E59" s="116"/>
      <c r="F59" s="116"/>
      <c r="G59" s="116"/>
      <c r="H59" s="117">
        <f>H56*H57</f>
        <v>8.0561886599376714E-2</v>
      </c>
      <c r="I59" s="117">
        <f t="shared" ref="I59:K59" si="17">I56*I57</f>
        <v>0.21246924232256417</v>
      </c>
      <c r="J59" s="117">
        <f t="shared" si="17"/>
        <v>0.2046523571086756</v>
      </c>
      <c r="K59" s="117">
        <f t="shared" si="17"/>
        <v>-6.2327699868152946E-2</v>
      </c>
    </row>
    <row r="61" spans="1:11" x14ac:dyDescent="0.25">
      <c r="J61" s="90" t="s">
        <v>311</v>
      </c>
      <c r="K61" s="91">
        <f>AVERAGE(H59:K59)</f>
        <v>0.10883894654061589</v>
      </c>
    </row>
    <row r="62" spans="1:11" x14ac:dyDescent="0.25">
      <c r="J62" s="90" t="s">
        <v>312</v>
      </c>
      <c r="K62" s="91">
        <f>MEDIAN(H59:K59)</f>
        <v>0.14260712185402616</v>
      </c>
    </row>
  </sheetData>
  <pageMargins left="0.7" right="0.7" top="0.75" bottom="0.75" header="0.3" footer="0.3"/>
  <ignoredErrors>
    <ignoredError sqref="G40:K40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CB21-5AE2-447F-8BC5-E6081095E0BE}">
  <dimension ref="B2:J41"/>
  <sheetViews>
    <sheetView showGridLines="0" topLeftCell="A13" zoomScale="87" workbookViewId="0">
      <selection activeCell="D38" sqref="D38"/>
    </sheetView>
  </sheetViews>
  <sheetFormatPr defaultRowHeight="15" x14ac:dyDescent="0.25"/>
  <cols>
    <col min="1" max="1" width="1.85546875" customWidth="1"/>
    <col min="2" max="2" width="13.28515625" customWidth="1"/>
    <col min="3" max="3" width="11.28515625" customWidth="1"/>
    <col min="4" max="4" width="14.5703125" bestFit="1" customWidth="1"/>
    <col min="5" max="10" width="10" bestFit="1" customWidth="1"/>
  </cols>
  <sheetData>
    <row r="2" spans="2:10" x14ac:dyDescent="0.25">
      <c r="B2" s="113" t="s">
        <v>315</v>
      </c>
      <c r="C2" s="112"/>
      <c r="D2" s="112"/>
      <c r="E2" s="121">
        <f>'Intrisic Growth'!K38</f>
        <v>45717</v>
      </c>
      <c r="F2" s="122">
        <f>E2+365</f>
        <v>46082</v>
      </c>
      <c r="G2" s="122">
        <f>F2+366</f>
        <v>46448</v>
      </c>
      <c r="H2" s="122">
        <f t="shared" ref="H2:J2" si="0">G2+365</f>
        <v>46813</v>
      </c>
      <c r="I2" s="122">
        <f t="shared" si="0"/>
        <v>47178</v>
      </c>
      <c r="J2" s="122">
        <f t="shared" si="0"/>
        <v>47543</v>
      </c>
    </row>
    <row r="3" spans="2:10" x14ac:dyDescent="0.25">
      <c r="E3" s="127"/>
    </row>
    <row r="4" spans="2:10" x14ac:dyDescent="0.25">
      <c r="B4" s="115" t="s">
        <v>302</v>
      </c>
      <c r="C4" s="115"/>
      <c r="D4" s="115"/>
      <c r="E4" s="128">
        <f>'Data Sheet'!K33-'Data Sheet'!K26</f>
        <v>37987</v>
      </c>
      <c r="F4" s="124">
        <f>E4*(1+$D$14)</f>
        <v>41709.726000000002</v>
      </c>
      <c r="G4" s="124">
        <f>F4*(1+$D$14)</f>
        <v>45797.279148000009</v>
      </c>
      <c r="H4" s="124">
        <f>G4*(1+$D$14)</f>
        <v>50285.412504504013</v>
      </c>
      <c r="I4" s="124">
        <f>H4*(1+$D$14)</f>
        <v>55213.382929945408</v>
      </c>
      <c r="J4" s="124">
        <f>I4*(1+$D$14)</f>
        <v>60624.294457080061</v>
      </c>
    </row>
    <row r="5" spans="2:10" x14ac:dyDescent="0.25">
      <c r="B5" s="115" t="s">
        <v>171</v>
      </c>
      <c r="C5" s="115"/>
      <c r="D5" s="115"/>
      <c r="E5" s="129">
        <v>0.25</v>
      </c>
      <c r="F5" s="120">
        <f>E5</f>
        <v>0.25</v>
      </c>
      <c r="G5" s="120">
        <f t="shared" ref="G5:J5" si="1">F5</f>
        <v>0.25</v>
      </c>
      <c r="H5" s="120">
        <f t="shared" si="1"/>
        <v>0.25</v>
      </c>
      <c r="I5" s="120">
        <f t="shared" si="1"/>
        <v>0.25</v>
      </c>
      <c r="J5" s="120">
        <f t="shared" si="1"/>
        <v>0.25</v>
      </c>
    </row>
    <row r="6" spans="2:10" x14ac:dyDescent="0.25">
      <c r="B6" s="115" t="s">
        <v>309</v>
      </c>
      <c r="C6" s="115"/>
      <c r="D6" s="115"/>
      <c r="E6" s="128">
        <f t="shared" ref="E6:J6" si="2">E4*(1-E5)</f>
        <v>28490.25</v>
      </c>
      <c r="F6" s="124">
        <f t="shared" si="2"/>
        <v>31282.294500000004</v>
      </c>
      <c r="G6" s="124">
        <f t="shared" si="2"/>
        <v>34347.959361000008</v>
      </c>
      <c r="H6" s="124">
        <f t="shared" si="2"/>
        <v>37714.059378378006</v>
      </c>
      <c r="I6" s="124">
        <f t="shared" si="2"/>
        <v>41410.037197459053</v>
      </c>
      <c r="J6" s="124">
        <f t="shared" si="2"/>
        <v>45468.220842810042</v>
      </c>
    </row>
    <row r="7" spans="2:10" x14ac:dyDescent="0.25">
      <c r="B7" s="115" t="s">
        <v>316</v>
      </c>
      <c r="C7" s="115"/>
      <c r="D7" s="115"/>
      <c r="E7" s="130">
        <f>'Intrisic Growth'!K52</f>
        <v>0.24110461390352503</v>
      </c>
      <c r="F7" s="125">
        <f>E7+(($J$7-$E$7)/4)</f>
        <v>0.27457846042764378</v>
      </c>
      <c r="G7" s="125">
        <f t="shared" ref="G7:I7" si="3">F7+(($J$7-$E$7)/4)</f>
        <v>0.3080523069517625</v>
      </c>
      <c r="H7" s="125">
        <f t="shared" si="3"/>
        <v>0.34152615347588122</v>
      </c>
      <c r="I7" s="125">
        <f t="shared" si="3"/>
        <v>0.37499999999999994</v>
      </c>
      <c r="J7" s="119">
        <v>0.375</v>
      </c>
    </row>
    <row r="8" spans="2:10" x14ac:dyDescent="0.25">
      <c r="B8" s="115" t="s">
        <v>317</v>
      </c>
      <c r="C8" s="115"/>
      <c r="D8" s="115"/>
      <c r="E8" s="128">
        <f t="shared" ref="E8:J8" si="4">E6*(1-E7)</f>
        <v>21621.119273735098</v>
      </c>
      <c r="F8" s="124">
        <f t="shared" si="4"/>
        <v>22692.850237545856</v>
      </c>
      <c r="G8" s="124">
        <f t="shared" si="4"/>
        <v>23766.991240758573</v>
      </c>
      <c r="H8" s="124">
        <f t="shared" si="4"/>
        <v>24833.721746919582</v>
      </c>
      <c r="I8" s="124">
        <f t="shared" si="4"/>
        <v>25881.273248411908</v>
      </c>
      <c r="J8" s="124">
        <f t="shared" si="4"/>
        <v>28417.638026756278</v>
      </c>
    </row>
    <row r="9" spans="2:10" x14ac:dyDescent="0.25">
      <c r="B9" s="115" t="s">
        <v>318</v>
      </c>
      <c r="C9" s="115"/>
      <c r="D9" s="115"/>
      <c r="E9" s="131"/>
      <c r="F9" s="126">
        <v>0.5</v>
      </c>
      <c r="G9" s="115">
        <f>F9+1</f>
        <v>1.5</v>
      </c>
      <c r="H9" s="115">
        <f t="shared" ref="H9:J9" si="5">G9+1</f>
        <v>2.5</v>
      </c>
      <c r="I9" s="115">
        <f t="shared" si="5"/>
        <v>3.5</v>
      </c>
      <c r="J9" s="115">
        <f t="shared" si="5"/>
        <v>4.5</v>
      </c>
    </row>
    <row r="10" spans="2:10" x14ac:dyDescent="0.25">
      <c r="B10" s="115" t="s">
        <v>319</v>
      </c>
      <c r="C10" s="115"/>
      <c r="D10" s="115"/>
      <c r="E10" s="131"/>
      <c r="F10" s="132">
        <f>1/(1+$D$16)^F9</f>
        <v>0.98516063403551335</v>
      </c>
      <c r="G10" s="132">
        <f t="shared" ref="G10:J10" si="6">1/(1+$D$16)^G9</f>
        <v>0.95613925472419503</v>
      </c>
      <c r="H10" s="132">
        <f t="shared" si="6"/>
        <v>0.92797280244511215</v>
      </c>
      <c r="I10" s="132">
        <f t="shared" si="6"/>
        <v>0.90063609230878727</v>
      </c>
      <c r="J10" s="132">
        <f t="shared" si="6"/>
        <v>0.87410468133544272</v>
      </c>
    </row>
    <row r="11" spans="2:10" x14ac:dyDescent="0.25">
      <c r="E11" s="127"/>
    </row>
    <row r="12" spans="2:10" ht="15.75" thickBot="1" x14ac:dyDescent="0.3">
      <c r="B12" s="116" t="s">
        <v>320</v>
      </c>
      <c r="C12" s="116"/>
      <c r="D12" s="116"/>
      <c r="E12" s="133"/>
      <c r="F12" s="134">
        <f>F8*F10</f>
        <v>22356.102728093625</v>
      </c>
      <c r="G12" s="134">
        <f t="shared" ref="G12:I12" si="7">G8*G10</f>
        <v>22724.553291975371</v>
      </c>
      <c r="H12" s="134">
        <f t="shared" si="7"/>
        <v>23045.018364631091</v>
      </c>
      <c r="I12" s="134">
        <f t="shared" si="7"/>
        <v>23309.608802425653</v>
      </c>
      <c r="J12" s="134">
        <f>J8*J10</f>
        <v>24839.990431683756</v>
      </c>
    </row>
    <row r="14" spans="2:10" x14ac:dyDescent="0.25">
      <c r="B14" s="78" t="s">
        <v>321</v>
      </c>
      <c r="C14" s="78"/>
      <c r="D14" s="123">
        <v>9.8000000000000004E-2</v>
      </c>
    </row>
    <row r="15" spans="2:10" x14ac:dyDescent="0.25">
      <c r="B15" s="78" t="s">
        <v>322</v>
      </c>
      <c r="C15" s="78"/>
      <c r="D15" s="123">
        <v>5.3800000000000001E-2</v>
      </c>
    </row>
    <row r="16" spans="2:10" x14ac:dyDescent="0.25">
      <c r="B16" s="78" t="s">
        <v>261</v>
      </c>
      <c r="C16" s="78"/>
      <c r="D16" s="123">
        <f>WACC!K43</f>
        <v>3.0352670040401125E-2</v>
      </c>
    </row>
    <row r="18" spans="2:4" x14ac:dyDescent="0.25">
      <c r="B18" s="113" t="s">
        <v>323</v>
      </c>
      <c r="C18" s="112"/>
      <c r="D18" s="112"/>
    </row>
    <row r="20" spans="2:4" x14ac:dyDescent="0.25">
      <c r="B20" t="s">
        <v>324</v>
      </c>
      <c r="D20" s="96">
        <f>J8*(1+D14)</f>
        <v>31202.566553378398</v>
      </c>
    </row>
    <row r="21" spans="2:4" x14ac:dyDescent="0.25">
      <c r="B21" t="s">
        <v>261</v>
      </c>
      <c r="D21" s="40">
        <f>D16</f>
        <v>3.0352670040401125E-2</v>
      </c>
    </row>
    <row r="22" spans="2:4" x14ac:dyDescent="0.25">
      <c r="B22" t="s">
        <v>325</v>
      </c>
      <c r="D22" s="40">
        <f>D15</f>
        <v>5.3800000000000001E-2</v>
      </c>
    </row>
    <row r="24" spans="2:4" ht="15.75" thickBot="1" x14ac:dyDescent="0.3">
      <c r="B24" s="116" t="s">
        <v>326</v>
      </c>
      <c r="C24" s="116"/>
      <c r="D24" s="135">
        <f>D20/(D21-D22)</f>
        <v>-1330751.3737019205</v>
      </c>
    </row>
    <row r="27" spans="2:4" x14ac:dyDescent="0.25">
      <c r="B27" s="113" t="s">
        <v>331</v>
      </c>
      <c r="C27" s="112"/>
      <c r="D27" s="112"/>
    </row>
    <row r="29" spans="2:4" x14ac:dyDescent="0.25">
      <c r="B29" t="s">
        <v>320</v>
      </c>
      <c r="D29" s="96">
        <f>SUM(F12:J12)</f>
        <v>116275.2736188095</v>
      </c>
    </row>
    <row r="30" spans="2:4" x14ac:dyDescent="0.25">
      <c r="B30" t="s">
        <v>327</v>
      </c>
      <c r="D30" s="68">
        <f>D24*J10</f>
        <v>-1163216.0054464198</v>
      </c>
    </row>
    <row r="31" spans="2:4" x14ac:dyDescent="0.25">
      <c r="B31" s="2" t="s">
        <v>328</v>
      </c>
      <c r="C31" s="2"/>
      <c r="D31" s="97">
        <f>SUM(D29:D30)</f>
        <v>-1046940.7318276103</v>
      </c>
    </row>
    <row r="32" spans="2:4" x14ac:dyDescent="0.25">
      <c r="D32" s="96"/>
    </row>
    <row r="33" spans="2:4" x14ac:dyDescent="0.25">
      <c r="B33" t="s">
        <v>329</v>
      </c>
      <c r="D33" s="96">
        <f>'Data Sheet'!K69</f>
        <v>24455</v>
      </c>
    </row>
    <row r="34" spans="2:4" x14ac:dyDescent="0.25">
      <c r="B34" t="s">
        <v>330</v>
      </c>
      <c r="D34" s="68">
        <f>'Raw FS'!N8</f>
        <v>8227</v>
      </c>
    </row>
    <row r="35" spans="2:4" x14ac:dyDescent="0.25">
      <c r="B35" s="2" t="s">
        <v>332</v>
      </c>
      <c r="C35" s="2"/>
      <c r="D35" s="136">
        <f>D31+D33-D34</f>
        <v>-1030712.7318276103</v>
      </c>
    </row>
    <row r="36" spans="2:4" x14ac:dyDescent="0.25">
      <c r="B36" t="s">
        <v>333</v>
      </c>
      <c r="D36" s="68">
        <f>'Data Sheet'!B6</f>
        <v>405.46678959869985</v>
      </c>
    </row>
    <row r="38" spans="2:4" ht="15.75" thickBot="1" x14ac:dyDescent="0.3">
      <c r="B38" s="116" t="s">
        <v>334</v>
      </c>
      <c r="C38" s="116"/>
      <c r="D38" s="116">
        <f>D35/D36</f>
        <v>-2542.0398372151053</v>
      </c>
    </row>
    <row r="40" spans="2:4" x14ac:dyDescent="0.25">
      <c r="B40" s="78" t="s">
        <v>335</v>
      </c>
      <c r="C40" s="78"/>
      <c r="D40" s="78">
        <v>1313</v>
      </c>
    </row>
    <row r="41" spans="2:4" x14ac:dyDescent="0.25">
      <c r="B41" s="78" t="s">
        <v>336</v>
      </c>
      <c r="C41" s="78"/>
      <c r="D41" s="142">
        <f>D40/D38</f>
        <v>-0.51651432868118941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5449-1E77-45FA-9014-00F3D65F828F}">
  <sheetPr>
    <tabColor rgb="FF00206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646D0-FC93-49B1-9D33-D0B22CE09AEF}">
  <dimension ref="A2:CG71"/>
  <sheetViews>
    <sheetView showGridLines="0" topLeftCell="B4" zoomScale="74" workbookViewId="0">
      <selection activeCell="S50" sqref="S50:S51"/>
    </sheetView>
  </sheetViews>
  <sheetFormatPr defaultRowHeight="15" x14ac:dyDescent="0.25"/>
  <cols>
    <col min="1" max="1" width="1.85546875" customWidth="1"/>
    <col min="3" max="3" width="12.28515625" bestFit="1" customWidth="1"/>
    <col min="4" max="4" width="11.28515625" customWidth="1"/>
    <col min="5" max="5" width="9.140625" customWidth="1"/>
    <col min="6" max="6" width="14.85546875" customWidth="1"/>
    <col min="7" max="7" width="13.140625" customWidth="1"/>
    <col min="9" max="9" width="19.28515625" customWidth="1"/>
    <col min="11" max="18" width="5.7109375" customWidth="1"/>
    <col min="19" max="19" width="12.7109375" bestFit="1" customWidth="1"/>
    <col min="20" max="20" width="12.5703125" bestFit="1" customWidth="1"/>
    <col min="23" max="23" width="13.85546875" customWidth="1"/>
    <col min="26" max="26" width="18.85546875" bestFit="1" customWidth="1"/>
    <col min="28" max="35" width="5.7109375" customWidth="1"/>
    <col min="36" max="36" width="13.85546875" customWidth="1"/>
    <col min="40" max="40" width="11.5703125" customWidth="1"/>
    <col min="43" max="43" width="18.85546875" bestFit="1" customWidth="1"/>
    <col min="45" max="52" width="5.7109375" customWidth="1"/>
    <col min="53" max="53" width="10.7109375" customWidth="1"/>
    <col min="54" max="54" width="14.7109375" customWidth="1"/>
    <col min="60" max="60" width="18.85546875" bestFit="1" customWidth="1"/>
    <col min="62" max="68" width="5.7109375" customWidth="1"/>
    <col min="71" max="71" width="12.28515625" bestFit="1" customWidth="1"/>
    <col min="77" max="77" width="18.85546875" bestFit="1" customWidth="1"/>
    <col min="79" max="86" width="5.7109375" customWidth="1"/>
  </cols>
  <sheetData>
    <row r="2" spans="1:85" x14ac:dyDescent="0.25">
      <c r="A2" t="s">
        <v>56</v>
      </c>
      <c r="B2" s="17" t="s">
        <v>231</v>
      </c>
      <c r="C2" s="18"/>
      <c r="D2" s="17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</row>
    <row r="4" spans="1:85" x14ac:dyDescent="0.25">
      <c r="A4" s="2"/>
      <c r="B4" s="161" t="s">
        <v>194</v>
      </c>
      <c r="C4" s="161"/>
      <c r="D4" s="161"/>
      <c r="F4" s="161" t="s">
        <v>197</v>
      </c>
      <c r="G4" s="161"/>
      <c r="I4" s="161" t="s">
        <v>225</v>
      </c>
      <c r="J4" s="161"/>
      <c r="S4" s="161" t="s">
        <v>249</v>
      </c>
      <c r="T4" s="161"/>
      <c r="U4" s="161"/>
      <c r="W4" s="161" t="s">
        <v>197</v>
      </c>
      <c r="X4" s="161"/>
      <c r="Z4" s="161" t="s">
        <v>225</v>
      </c>
      <c r="AA4" s="161"/>
      <c r="AJ4" s="161" t="s">
        <v>250</v>
      </c>
      <c r="AK4" s="161"/>
      <c r="AL4" s="161"/>
      <c r="AN4" s="161" t="s">
        <v>197</v>
      </c>
      <c r="AO4" s="161"/>
      <c r="AQ4" s="161" t="s">
        <v>225</v>
      </c>
      <c r="AR4" s="161"/>
      <c r="BA4" s="161" t="s">
        <v>251</v>
      </c>
      <c r="BB4" s="161"/>
      <c r="BC4" s="161"/>
      <c r="BE4" s="161" t="s">
        <v>197</v>
      </c>
      <c r="BF4" s="161"/>
      <c r="BH4" s="161" t="s">
        <v>225</v>
      </c>
      <c r="BI4" s="161"/>
      <c r="BR4" s="161" t="s">
        <v>252</v>
      </c>
      <c r="BS4" s="161"/>
      <c r="BT4" s="161"/>
      <c r="BV4" s="161" t="s">
        <v>197</v>
      </c>
      <c r="BW4" s="161"/>
      <c r="BY4" s="161" t="s">
        <v>225</v>
      </c>
      <c r="BZ4" s="161"/>
    </row>
    <row r="5" spans="1:85" x14ac:dyDescent="0.25">
      <c r="B5" s="2"/>
    </row>
    <row r="6" spans="1:85" x14ac:dyDescent="0.25">
      <c r="B6" s="76" t="s">
        <v>192</v>
      </c>
      <c r="C6" s="77" t="s">
        <v>195</v>
      </c>
      <c r="D6" s="77" t="s">
        <v>196</v>
      </c>
      <c r="F6" s="77" t="s">
        <v>195</v>
      </c>
      <c r="G6" s="77" t="s">
        <v>196</v>
      </c>
      <c r="I6" s="39" t="s">
        <v>226</v>
      </c>
      <c r="J6" s="68">
        <f>J18</f>
        <v>-0.55864318911493416</v>
      </c>
      <c r="S6" s="76" t="s">
        <v>192</v>
      </c>
      <c r="T6" s="77" t="s">
        <v>195</v>
      </c>
      <c r="U6" s="77" t="s">
        <v>196</v>
      </c>
      <c r="W6" s="77" t="s">
        <v>195</v>
      </c>
      <c r="X6" s="77" t="s">
        <v>196</v>
      </c>
      <c r="Z6" s="39" t="s">
        <v>226</v>
      </c>
      <c r="AA6" s="68">
        <f>AA18</f>
        <v>-0.72507980098694613</v>
      </c>
      <c r="AJ6" s="76" t="s">
        <v>192</v>
      </c>
      <c r="AK6" s="77" t="s">
        <v>195</v>
      </c>
      <c r="AL6" s="77" t="s">
        <v>196</v>
      </c>
      <c r="AN6" s="77" t="s">
        <v>195</v>
      </c>
      <c r="AO6" s="77" t="s">
        <v>196</v>
      </c>
      <c r="AQ6" s="39" t="s">
        <v>226</v>
      </c>
      <c r="AR6" s="68">
        <f>AR18</f>
        <v>-0.69639833259713557</v>
      </c>
      <c r="BA6" s="76" t="s">
        <v>192</v>
      </c>
      <c r="BB6" s="77" t="s">
        <v>195</v>
      </c>
      <c r="BC6" s="77" t="s">
        <v>196</v>
      </c>
      <c r="BE6" s="77" t="s">
        <v>195</v>
      </c>
      <c r="BF6" s="77" t="s">
        <v>196</v>
      </c>
      <c r="BH6" s="39" t="s">
        <v>226</v>
      </c>
      <c r="BI6" s="68">
        <f>BI18</f>
        <v>-0.36690987607974829</v>
      </c>
      <c r="BR6" s="76" t="s">
        <v>192</v>
      </c>
      <c r="BS6" s="77" t="s">
        <v>195</v>
      </c>
      <c r="BT6" s="77" t="s">
        <v>196</v>
      </c>
      <c r="BV6" s="77" t="s">
        <v>195</v>
      </c>
      <c r="BW6" s="77" t="s">
        <v>196</v>
      </c>
      <c r="BY6" s="39" t="s">
        <v>226</v>
      </c>
      <c r="BZ6" s="68">
        <f>BZ18</f>
        <v>-0.42203533639380342</v>
      </c>
    </row>
    <row r="7" spans="1:85" x14ac:dyDescent="0.25">
      <c r="B7" s="74">
        <v>44256</v>
      </c>
      <c r="C7" s="75">
        <v>1204.32</v>
      </c>
      <c r="F7" s="115">
        <v>282.93</v>
      </c>
      <c r="I7" t="s">
        <v>227</v>
      </c>
      <c r="J7" s="40">
        <v>0.75</v>
      </c>
      <c r="Q7" s="73"/>
      <c r="S7" s="11">
        <v>44256</v>
      </c>
      <c r="T7" s="73">
        <v>2793.57</v>
      </c>
      <c r="U7" s="19"/>
      <c r="W7" s="115">
        <v>282.93</v>
      </c>
      <c r="Z7" t="s">
        <v>227</v>
      </c>
      <c r="AA7" s="40">
        <v>0.75</v>
      </c>
      <c r="AJ7" s="11">
        <v>44256</v>
      </c>
      <c r="AK7">
        <v>803.33</v>
      </c>
      <c r="AN7" s="115">
        <v>282.93</v>
      </c>
      <c r="AQ7" t="s">
        <v>227</v>
      </c>
      <c r="AR7" s="40">
        <v>0.75</v>
      </c>
      <c r="BA7" s="11">
        <v>44256</v>
      </c>
      <c r="BB7">
        <v>191.32</v>
      </c>
      <c r="BE7" s="115">
        <v>282.93</v>
      </c>
      <c r="BH7" t="s">
        <v>227</v>
      </c>
      <c r="BI7" s="40">
        <v>0.75</v>
      </c>
      <c r="BR7" s="11">
        <v>44256</v>
      </c>
      <c r="BS7" s="73">
        <v>3820.59</v>
      </c>
      <c r="BV7" s="115">
        <v>282.93</v>
      </c>
      <c r="BY7" t="s">
        <v>227</v>
      </c>
      <c r="BZ7" s="40">
        <v>0.75</v>
      </c>
    </row>
    <row r="8" spans="1:85" x14ac:dyDescent="0.25">
      <c r="B8" s="74">
        <v>44287</v>
      </c>
      <c r="C8" s="75">
        <v>1192.26</v>
      </c>
      <c r="D8" s="19">
        <f>C8/C7-1</f>
        <v>-1.0013949780789067E-2</v>
      </c>
      <c r="F8" s="115">
        <v>279.32</v>
      </c>
      <c r="G8" s="19">
        <f>F8/F7-1</f>
        <v>-1.275933976601995E-2</v>
      </c>
      <c r="P8" s="73"/>
      <c r="S8" s="11">
        <v>44287</v>
      </c>
      <c r="T8" s="73">
        <v>2668.57</v>
      </c>
      <c r="U8" s="19">
        <f>T8/T7-1</f>
        <v>-4.4745612245263189E-2</v>
      </c>
      <c r="W8" s="115">
        <v>279.32</v>
      </c>
      <c r="X8" s="19">
        <f>W8/W7-1</f>
        <v>-1.275933976601995E-2</v>
      </c>
      <c r="AJ8" s="11">
        <v>44287</v>
      </c>
      <c r="AK8">
        <v>747.86</v>
      </c>
      <c r="AL8" s="19">
        <f>AK8/AK7-1</f>
        <v>-6.9050079045971158E-2</v>
      </c>
      <c r="AN8" s="115">
        <v>279.32</v>
      </c>
      <c r="AO8" s="19">
        <f>AN8/AN7-1</f>
        <v>-1.275933976601995E-2</v>
      </c>
      <c r="BA8" s="11">
        <v>44287</v>
      </c>
      <c r="BB8">
        <v>227.63</v>
      </c>
      <c r="BC8" s="19">
        <f>BB8/BB7-1</f>
        <v>0.18978674472088652</v>
      </c>
      <c r="BE8" s="115">
        <v>279.32</v>
      </c>
      <c r="BF8" s="19">
        <f>BE8/BE7-1</f>
        <v>-1.275933976601995E-2</v>
      </c>
      <c r="BR8" s="11">
        <v>44287</v>
      </c>
      <c r="BS8" s="73">
        <v>3666</v>
      </c>
      <c r="BT8" s="19">
        <f>BS8/BS7-1</f>
        <v>-4.0462336968897561E-2</v>
      </c>
      <c r="BV8" s="115">
        <v>279.32</v>
      </c>
      <c r="BW8" s="19">
        <f>BV8/BV7-1</f>
        <v>-1.275933976601995E-2</v>
      </c>
    </row>
    <row r="9" spans="1:85" x14ac:dyDescent="0.25">
      <c r="B9" s="74">
        <v>44317</v>
      </c>
      <c r="C9" s="75">
        <v>1240.19</v>
      </c>
      <c r="D9" s="19">
        <f t="shared" ref="D9:D66" si="0">C9/C8-1</f>
        <v>4.0200962877224855E-2</v>
      </c>
      <c r="F9" s="115">
        <v>287.88</v>
      </c>
      <c r="G9" s="19">
        <f t="shared" ref="G9:G66" si="1">F9/F8-1</f>
        <v>3.0645854217385082E-2</v>
      </c>
      <c r="I9" t="s">
        <v>229</v>
      </c>
      <c r="J9" s="68">
        <v>1</v>
      </c>
      <c r="P9" s="73"/>
      <c r="S9" s="11">
        <v>44317</v>
      </c>
      <c r="T9" s="73">
        <v>2790.72</v>
      </c>
      <c r="U9" s="19">
        <f t="shared" ref="U9:U65" si="2">T9/T8-1</f>
        <v>4.5773579107911688E-2</v>
      </c>
      <c r="W9" s="115">
        <v>287.88</v>
      </c>
      <c r="X9" s="19">
        <f t="shared" ref="X9:X66" si="3">W9/W8-1</f>
        <v>3.0645854217385082E-2</v>
      </c>
      <c r="Z9" t="s">
        <v>229</v>
      </c>
      <c r="AA9" s="68">
        <v>1</v>
      </c>
      <c r="AJ9" s="11">
        <v>44317</v>
      </c>
      <c r="AK9">
        <v>786.34</v>
      </c>
      <c r="AL9" s="19">
        <f t="shared" ref="AL9:AL65" si="4">AK9/AK8-1</f>
        <v>5.1453480597972945E-2</v>
      </c>
      <c r="AN9" s="115">
        <v>287.88</v>
      </c>
      <c r="AO9" s="19">
        <f t="shared" ref="AO9:AO66" si="5">AN9/AN8-1</f>
        <v>3.0645854217385082E-2</v>
      </c>
      <c r="AQ9" t="s">
        <v>229</v>
      </c>
      <c r="AR9" s="68">
        <v>1</v>
      </c>
      <c r="BA9" s="11">
        <v>44317</v>
      </c>
      <c r="BB9">
        <v>249.01</v>
      </c>
      <c r="BC9" s="19">
        <f t="shared" ref="BC9:BC65" si="6">BB9/BB8-1</f>
        <v>9.3924350920353117E-2</v>
      </c>
      <c r="BE9" s="115">
        <v>287.88</v>
      </c>
      <c r="BF9" s="19">
        <f t="shared" ref="BF9:BF66" si="7">BE9/BE8-1</f>
        <v>3.0645854217385082E-2</v>
      </c>
      <c r="BH9" t="s">
        <v>229</v>
      </c>
      <c r="BI9" s="68">
        <v>1</v>
      </c>
      <c r="BR9" s="11">
        <v>44317</v>
      </c>
      <c r="BS9" s="73">
        <v>3715.14</v>
      </c>
      <c r="BT9" s="19">
        <f t="shared" ref="BT9:BT65" si="8">BS9/BS8-1</f>
        <v>1.3404255319148906E-2</v>
      </c>
      <c r="BV9" s="115">
        <v>287.88</v>
      </c>
      <c r="BW9" s="19">
        <f t="shared" ref="BW9:BW66" si="9">BV9/BV8-1</f>
        <v>3.0645854217385082E-2</v>
      </c>
      <c r="BY9" t="s">
        <v>229</v>
      </c>
      <c r="BZ9" s="68">
        <v>1</v>
      </c>
    </row>
    <row r="10" spans="1:85" x14ac:dyDescent="0.25">
      <c r="B10" s="74">
        <v>44348</v>
      </c>
      <c r="C10" s="75">
        <v>1406.63</v>
      </c>
      <c r="D10" s="19">
        <f t="shared" si="0"/>
        <v>0.13420524274506329</v>
      </c>
      <c r="F10" s="115">
        <v>288.64</v>
      </c>
      <c r="G10" s="19">
        <f t="shared" si="1"/>
        <v>2.639988884257205E-3</v>
      </c>
      <c r="I10" t="s">
        <v>228</v>
      </c>
      <c r="J10" s="40">
        <v>0.25</v>
      </c>
      <c r="P10" s="73"/>
      <c r="S10" s="11">
        <v>44348</v>
      </c>
      <c r="T10" s="73">
        <v>2955.56</v>
      </c>
      <c r="U10" s="19">
        <f t="shared" si="2"/>
        <v>5.9067194129113654E-2</v>
      </c>
      <c r="W10" s="115">
        <v>288.64</v>
      </c>
      <c r="X10" s="19">
        <f t="shared" si="3"/>
        <v>2.639988884257205E-3</v>
      </c>
      <c r="Z10" t="s">
        <v>228</v>
      </c>
      <c r="AA10" s="40">
        <v>0.25</v>
      </c>
      <c r="AJ10" s="11">
        <v>44348</v>
      </c>
      <c r="AK10">
        <v>818.2</v>
      </c>
      <c r="AL10" s="19">
        <f t="shared" si="4"/>
        <v>4.0516824783172645E-2</v>
      </c>
      <c r="AN10" s="115">
        <v>288.64</v>
      </c>
      <c r="AO10" s="19">
        <f t="shared" si="5"/>
        <v>2.639988884257205E-3</v>
      </c>
      <c r="AQ10" t="s">
        <v>228</v>
      </c>
      <c r="AR10" s="40">
        <v>0.25</v>
      </c>
      <c r="BA10" s="11">
        <v>44348</v>
      </c>
      <c r="BB10">
        <v>252.06</v>
      </c>
      <c r="BC10" s="19">
        <f t="shared" si="6"/>
        <v>1.2248504076141531E-2</v>
      </c>
      <c r="BE10" s="115">
        <v>288.64</v>
      </c>
      <c r="BF10" s="19">
        <f t="shared" si="7"/>
        <v>2.639988884257205E-3</v>
      </c>
      <c r="BH10" t="s">
        <v>228</v>
      </c>
      <c r="BI10" s="40">
        <v>0.25</v>
      </c>
      <c r="BR10" s="11">
        <v>44348</v>
      </c>
      <c r="BS10" s="73">
        <v>3836.61</v>
      </c>
      <c r="BT10" s="19">
        <f t="shared" si="8"/>
        <v>3.2695941471923007E-2</v>
      </c>
      <c r="BV10" s="115">
        <v>288.64</v>
      </c>
      <c r="BW10" s="19">
        <f t="shared" si="9"/>
        <v>2.639988884257205E-3</v>
      </c>
      <c r="BY10" t="s">
        <v>228</v>
      </c>
      <c r="BZ10" s="40">
        <v>0.25</v>
      </c>
    </row>
    <row r="11" spans="1:85" x14ac:dyDescent="0.25">
      <c r="B11" s="74">
        <v>44378</v>
      </c>
      <c r="C11" s="75">
        <v>1433.05</v>
      </c>
      <c r="D11" s="19">
        <f t="shared" si="0"/>
        <v>1.8782480112040645E-2</v>
      </c>
      <c r="F11" s="115">
        <v>283.22000000000003</v>
      </c>
      <c r="G11" s="19">
        <f t="shared" si="1"/>
        <v>-1.877771618625268E-2</v>
      </c>
      <c r="P11" s="73"/>
      <c r="S11" s="11">
        <v>44378</v>
      </c>
      <c r="T11" s="73">
        <v>2804.16</v>
      </c>
      <c r="U11" s="19">
        <f t="shared" si="2"/>
        <v>-5.1225486878967108E-2</v>
      </c>
      <c r="W11" s="115">
        <v>283.22000000000003</v>
      </c>
      <c r="X11" s="19">
        <f t="shared" si="3"/>
        <v>-1.877771618625268E-2</v>
      </c>
      <c r="AJ11" s="11">
        <v>44378</v>
      </c>
      <c r="AK11">
        <v>857.83</v>
      </c>
      <c r="AL11" s="19">
        <f t="shared" si="4"/>
        <v>4.8435590320215161E-2</v>
      </c>
      <c r="AN11" s="115">
        <v>283.22000000000003</v>
      </c>
      <c r="AO11" s="19">
        <f t="shared" si="5"/>
        <v>-1.877771618625268E-2</v>
      </c>
      <c r="BA11" s="11">
        <v>44378</v>
      </c>
      <c r="BB11">
        <v>271.23</v>
      </c>
      <c r="BC11" s="19">
        <f t="shared" si="6"/>
        <v>7.6053320637943456E-2</v>
      </c>
      <c r="BE11" s="115">
        <v>283.22000000000003</v>
      </c>
      <c r="BF11" s="19">
        <f t="shared" si="7"/>
        <v>-1.877771618625268E-2</v>
      </c>
      <c r="BR11" s="11">
        <v>44378</v>
      </c>
      <c r="BS11" s="73">
        <v>4451.1899999999996</v>
      </c>
      <c r="BT11" s="19">
        <f t="shared" si="8"/>
        <v>0.16018829122584766</v>
      </c>
      <c r="BV11" s="115">
        <v>283.22000000000003</v>
      </c>
      <c r="BW11" s="19">
        <f t="shared" si="9"/>
        <v>-1.877771618625268E-2</v>
      </c>
    </row>
    <row r="12" spans="1:85" x14ac:dyDescent="0.25">
      <c r="B12" s="74">
        <v>44409</v>
      </c>
      <c r="C12" s="75">
        <v>1518.43</v>
      </c>
      <c r="D12" s="19">
        <f t="shared" si="0"/>
        <v>5.9579219147971152E-2</v>
      </c>
      <c r="F12" s="115">
        <v>270.2</v>
      </c>
      <c r="G12" s="19">
        <f t="shared" si="1"/>
        <v>-4.5971329708354047E-2</v>
      </c>
      <c r="I12" s="78" t="s">
        <v>230</v>
      </c>
      <c r="J12" s="79">
        <f>(J6*J7)+(J9*J10)</f>
        <v>-0.16898239183620062</v>
      </c>
      <c r="P12" s="73"/>
      <c r="S12" s="11">
        <v>44409</v>
      </c>
      <c r="T12" s="73">
        <v>3352.16</v>
      </c>
      <c r="U12" s="19">
        <f t="shared" si="2"/>
        <v>0.19542394157252074</v>
      </c>
      <c r="W12" s="115">
        <v>270.2</v>
      </c>
      <c r="X12" s="19">
        <f t="shared" si="3"/>
        <v>-4.5971329708354047E-2</v>
      </c>
      <c r="Z12" s="78" t="s">
        <v>230</v>
      </c>
      <c r="AA12" s="79">
        <f>(AA6*AA7)+(AA9*AA10)</f>
        <v>-0.2938098507402096</v>
      </c>
      <c r="AJ12" s="11">
        <v>44409</v>
      </c>
      <c r="AK12">
        <v>989.52</v>
      </c>
      <c r="AL12" s="19">
        <f t="shared" si="4"/>
        <v>0.15351526526234793</v>
      </c>
      <c r="AN12" s="115">
        <v>270.2</v>
      </c>
      <c r="AO12" s="19">
        <f t="shared" si="5"/>
        <v>-4.5971329708354047E-2</v>
      </c>
      <c r="AQ12" s="78" t="s">
        <v>230</v>
      </c>
      <c r="AR12" s="79">
        <f>(AR6*AR7)+(AR9*AR10)</f>
        <v>-0.27229874944785171</v>
      </c>
      <c r="BA12" s="11">
        <v>44409</v>
      </c>
      <c r="BB12">
        <v>296.08999999999997</v>
      </c>
      <c r="BC12" s="19">
        <f t="shared" si="6"/>
        <v>9.1656527670242793E-2</v>
      </c>
      <c r="BE12" s="115">
        <v>270.2</v>
      </c>
      <c r="BF12" s="19">
        <f t="shared" si="7"/>
        <v>-4.5971329708354047E-2</v>
      </c>
      <c r="BH12" s="78" t="s">
        <v>230</v>
      </c>
      <c r="BI12" s="81">
        <f>(BI6*BI7)+(BI9*BI10)</f>
        <v>-2.5182407059811229E-2</v>
      </c>
      <c r="BR12" s="11">
        <v>44409</v>
      </c>
      <c r="BS12" s="73">
        <v>5048.03</v>
      </c>
      <c r="BT12" s="19">
        <f t="shared" si="8"/>
        <v>0.13408549174490414</v>
      </c>
      <c r="BV12" s="115">
        <v>270.2</v>
      </c>
      <c r="BW12" s="19">
        <f t="shared" si="9"/>
        <v>-4.5971329708354047E-2</v>
      </c>
      <c r="BY12" s="78" t="s">
        <v>230</v>
      </c>
      <c r="BZ12" s="79">
        <f>(BZ6*BZ7)+(BZ9*BZ10)</f>
        <v>-6.6526502295352563E-2</v>
      </c>
    </row>
    <row r="13" spans="1:85" x14ac:dyDescent="0.25">
      <c r="B13" s="74">
        <v>44440</v>
      </c>
      <c r="C13" s="75">
        <v>1490.63</v>
      </c>
      <c r="D13" s="19">
        <f t="shared" si="0"/>
        <v>-1.8308384318012627E-2</v>
      </c>
      <c r="F13" s="115">
        <v>268.67</v>
      </c>
      <c r="G13" s="19">
        <f t="shared" si="1"/>
        <v>-5.6624722427830454E-3</v>
      </c>
      <c r="P13" s="73"/>
      <c r="S13" s="11">
        <v>44440</v>
      </c>
      <c r="T13" s="73">
        <v>3342.51</v>
      </c>
      <c r="U13" s="19">
        <f t="shared" si="2"/>
        <v>-2.8787408715573726E-3</v>
      </c>
      <c r="W13" s="115">
        <v>268.67</v>
      </c>
      <c r="X13" s="19">
        <f t="shared" si="3"/>
        <v>-5.6624722427830454E-3</v>
      </c>
      <c r="AJ13" s="11">
        <v>44440</v>
      </c>
      <c r="AK13" s="73">
        <v>1070.9100000000001</v>
      </c>
      <c r="AL13" s="19">
        <f t="shared" si="4"/>
        <v>8.2252000970167494E-2</v>
      </c>
      <c r="AN13" s="115">
        <v>268.67</v>
      </c>
      <c r="AO13" s="19">
        <f t="shared" si="5"/>
        <v>-5.6624722427830454E-3</v>
      </c>
      <c r="BA13" s="11">
        <v>44440</v>
      </c>
      <c r="BB13">
        <v>292.92</v>
      </c>
      <c r="BC13" s="19">
        <f t="shared" si="6"/>
        <v>-1.0706204194670388E-2</v>
      </c>
      <c r="BE13" s="115">
        <v>268.67</v>
      </c>
      <c r="BF13" s="19">
        <f t="shared" si="7"/>
        <v>-5.6624722427830454E-3</v>
      </c>
      <c r="BR13" s="11">
        <v>44440</v>
      </c>
      <c r="BS13" s="73">
        <v>5478.2</v>
      </c>
      <c r="BT13" s="19">
        <f t="shared" si="8"/>
        <v>8.5215420669053188E-2</v>
      </c>
      <c r="BV13" s="115">
        <v>268.67</v>
      </c>
      <c r="BW13" s="19">
        <f t="shared" si="9"/>
        <v>-5.6624722427830454E-3</v>
      </c>
    </row>
    <row r="14" spans="1:85" x14ac:dyDescent="0.25">
      <c r="B14" s="74">
        <v>44470</v>
      </c>
      <c r="C14" s="75">
        <v>1497.15</v>
      </c>
      <c r="D14" s="19">
        <f t="shared" si="0"/>
        <v>4.373989521209154E-3</v>
      </c>
      <c r="F14" s="115">
        <v>272.04000000000002</v>
      </c>
      <c r="G14" s="19">
        <f t="shared" si="1"/>
        <v>1.2543268693936849E-2</v>
      </c>
      <c r="S14" s="11">
        <v>44470</v>
      </c>
      <c r="T14" s="73">
        <v>3013.82</v>
      </c>
      <c r="U14" s="19">
        <f t="shared" si="2"/>
        <v>-9.8336280220552852E-2</v>
      </c>
      <c r="V14" s="73"/>
      <c r="W14" s="115">
        <v>272.04000000000002</v>
      </c>
      <c r="X14" s="19">
        <f t="shared" si="3"/>
        <v>1.2543268693936849E-2</v>
      </c>
      <c r="AJ14" s="11">
        <v>44470</v>
      </c>
      <c r="AK14">
        <v>965.08</v>
      </c>
      <c r="AL14" s="19">
        <f t="shared" si="4"/>
        <v>-9.8822496755096134E-2</v>
      </c>
      <c r="AN14" s="115">
        <v>272.04000000000002</v>
      </c>
      <c r="AO14" s="19">
        <f t="shared" si="5"/>
        <v>1.2543268693936849E-2</v>
      </c>
      <c r="BA14" s="11">
        <v>44470</v>
      </c>
      <c r="BB14">
        <v>298.77</v>
      </c>
      <c r="BC14" s="19">
        <f t="shared" si="6"/>
        <v>1.9971323228185067E-2</v>
      </c>
      <c r="BE14" s="115">
        <v>272.04000000000002</v>
      </c>
      <c r="BF14" s="19">
        <f t="shared" si="7"/>
        <v>1.2543268693936849E-2</v>
      </c>
      <c r="BR14" s="11">
        <v>44470</v>
      </c>
      <c r="BS14" s="73">
        <v>6364.29</v>
      </c>
      <c r="BT14" s="19">
        <f t="shared" si="8"/>
        <v>0.1617483845058596</v>
      </c>
      <c r="BV14" s="115">
        <v>272.04000000000002</v>
      </c>
      <c r="BW14" s="19">
        <f t="shared" si="9"/>
        <v>1.2543268693936849E-2</v>
      </c>
    </row>
    <row r="15" spans="1:85" x14ac:dyDescent="0.25">
      <c r="B15" s="74">
        <v>44501</v>
      </c>
      <c r="C15" s="75">
        <v>1537.46</v>
      </c>
      <c r="D15" s="19">
        <f t="shared" si="0"/>
        <v>2.692448986407503E-2</v>
      </c>
      <c r="F15" s="115">
        <v>279.35000000000002</v>
      </c>
      <c r="G15" s="19">
        <f t="shared" si="1"/>
        <v>2.6871048375239015E-2</v>
      </c>
      <c r="I15" t="s">
        <v>198</v>
      </c>
      <c r="J15" s="68">
        <f>SLOPE(D8:D66,G8:G66)</f>
        <v>-0.55864318911493416</v>
      </c>
      <c r="S15" s="11">
        <v>44501</v>
      </c>
      <c r="T15" s="73">
        <v>3130.37</v>
      </c>
      <c r="U15" s="19">
        <f t="shared" si="2"/>
        <v>3.8671851669973556E-2</v>
      </c>
      <c r="V15" s="73"/>
      <c r="W15" s="115">
        <v>279.35000000000002</v>
      </c>
      <c r="X15" s="19">
        <f t="shared" si="3"/>
        <v>2.6871048375239015E-2</v>
      </c>
      <c r="Z15" t="s">
        <v>198</v>
      </c>
      <c r="AA15" s="68">
        <f>SLOPE(U8:U66,X8:X66)</f>
        <v>-0.72507980098694635</v>
      </c>
      <c r="AJ15" s="11">
        <v>44501</v>
      </c>
      <c r="AK15">
        <v>960.78</v>
      </c>
      <c r="AL15" s="19">
        <f t="shared" si="4"/>
        <v>-4.4555891739546105E-3</v>
      </c>
      <c r="AN15" s="115">
        <v>279.35000000000002</v>
      </c>
      <c r="AO15" s="19">
        <f t="shared" si="5"/>
        <v>2.6871048375239015E-2</v>
      </c>
      <c r="AQ15" t="s">
        <v>198</v>
      </c>
      <c r="AR15" s="68">
        <f>SLOPE(AL8:AL66,AO8:AO66)</f>
        <v>-0.69639833259713568</v>
      </c>
      <c r="BA15" s="11">
        <v>44501</v>
      </c>
      <c r="BB15">
        <v>294.38</v>
      </c>
      <c r="BC15" s="19">
        <f t="shared" si="6"/>
        <v>-1.469357699902929E-2</v>
      </c>
      <c r="BE15" s="115">
        <v>279.35000000000002</v>
      </c>
      <c r="BF15" s="19">
        <f t="shared" si="7"/>
        <v>2.6871048375239015E-2</v>
      </c>
      <c r="BH15" t="s">
        <v>198</v>
      </c>
      <c r="BI15" s="68">
        <f>SLOPE(BC8:BC66,BF8:BF66)</f>
        <v>-0.3669098760797484</v>
      </c>
      <c r="BR15" s="11">
        <v>44501</v>
      </c>
      <c r="BS15" s="73">
        <v>6485.62</v>
      </c>
      <c r="BT15" s="19">
        <f t="shared" si="8"/>
        <v>1.9064184693029285E-2</v>
      </c>
      <c r="BV15" s="115">
        <v>279.35000000000002</v>
      </c>
      <c r="BW15" s="19">
        <f t="shared" si="9"/>
        <v>2.6871048375239015E-2</v>
      </c>
      <c r="BY15" t="s">
        <v>198</v>
      </c>
      <c r="BZ15" s="68">
        <f>SLOPE(BT8:BT66,BW8:BW66)</f>
        <v>-0.42203533639380342</v>
      </c>
    </row>
    <row r="16" spans="1:85" x14ac:dyDescent="0.25">
      <c r="B16" s="74">
        <v>44531</v>
      </c>
      <c r="C16" s="75">
        <v>1694.64</v>
      </c>
      <c r="D16" s="19">
        <f t="shared" si="0"/>
        <v>0.10223355404368251</v>
      </c>
      <c r="F16" s="115">
        <v>270.52999999999997</v>
      </c>
      <c r="G16" s="19">
        <f t="shared" si="1"/>
        <v>-3.1573295149454284E-2</v>
      </c>
      <c r="I16" t="s">
        <v>199</v>
      </c>
      <c r="J16" s="68">
        <f>_xlfn.COVARIANCE.S(D7:D66,G7:G66)/_xlfn.VAR.S(G7:G66)</f>
        <v>-0.55864318911493416</v>
      </c>
      <c r="S16" s="11">
        <v>44531</v>
      </c>
      <c r="T16" s="73">
        <v>3315.93</v>
      </c>
      <c r="U16" s="19">
        <f t="shared" si="2"/>
        <v>5.9277337822685405E-2</v>
      </c>
      <c r="V16" s="73"/>
      <c r="W16" s="115">
        <v>270.52999999999997</v>
      </c>
      <c r="X16" s="19">
        <f t="shared" si="3"/>
        <v>-3.1573295149454284E-2</v>
      </c>
      <c r="Z16" t="s">
        <v>199</v>
      </c>
      <c r="AA16" s="68">
        <f>_xlfn.COVARIANCE.S(U7:U66,X7:X66)/_xlfn.VAR.S(X7:X66)</f>
        <v>-0.72507980098694635</v>
      </c>
      <c r="AJ16" s="11">
        <v>44531</v>
      </c>
      <c r="AK16" s="73">
        <v>1113.04</v>
      </c>
      <c r="AL16" s="19">
        <f t="shared" si="4"/>
        <v>0.15847540539977945</v>
      </c>
      <c r="AN16" s="115">
        <v>270.52999999999997</v>
      </c>
      <c r="AO16" s="19">
        <f t="shared" si="5"/>
        <v>-3.1573295149454284E-2</v>
      </c>
      <c r="AQ16" t="s">
        <v>199</v>
      </c>
      <c r="AR16" s="68">
        <f>_xlfn.COVARIANCE.S(AL7:AL66,AO7:AO66)/_xlfn.VAR.S(AO7:AO66)</f>
        <v>-0.69639833259713579</v>
      </c>
      <c r="BA16" s="11">
        <v>44531</v>
      </c>
      <c r="BB16">
        <v>330.46</v>
      </c>
      <c r="BC16" s="19">
        <f t="shared" si="6"/>
        <v>0.12256267409470745</v>
      </c>
      <c r="BE16" s="115">
        <v>270.52999999999997</v>
      </c>
      <c r="BF16" s="19">
        <f t="shared" si="7"/>
        <v>-3.1573295149454284E-2</v>
      </c>
      <c r="BH16" t="s">
        <v>199</v>
      </c>
      <c r="BI16" s="68">
        <f>_xlfn.COVARIANCE.S(BC7:BC66,BF7:BF66)/_xlfn.VAR.S(BF7:BF66)</f>
        <v>-0.36690987607974845</v>
      </c>
      <c r="BR16" s="11">
        <v>44531</v>
      </c>
      <c r="BS16" s="73">
        <v>6983.07</v>
      </c>
      <c r="BT16" s="19">
        <f t="shared" si="8"/>
        <v>7.6700454235678395E-2</v>
      </c>
      <c r="BV16" s="115">
        <v>270.52999999999997</v>
      </c>
      <c r="BW16" s="19">
        <f t="shared" si="9"/>
        <v>-3.1573295149454284E-2</v>
      </c>
      <c r="BY16" t="s">
        <v>199</v>
      </c>
      <c r="BZ16" s="68">
        <f>_xlfn.COVARIANCE.S(BT7:BT66,BW7:BW66)/_xlfn.VAR.S(BW7:BW66)</f>
        <v>-0.42203533639380347</v>
      </c>
    </row>
    <row r="17" spans="2:82" x14ac:dyDescent="0.25">
      <c r="B17" s="74">
        <v>44562</v>
      </c>
      <c r="C17" s="75">
        <v>1558.6</v>
      </c>
      <c r="D17" s="19">
        <f t="shared" si="0"/>
        <v>-8.0276636925836864E-2</v>
      </c>
      <c r="F17" s="115">
        <v>265.19</v>
      </c>
      <c r="G17" s="19">
        <f t="shared" si="1"/>
        <v>-1.9739030791409373E-2</v>
      </c>
      <c r="J17" s="68"/>
      <c r="S17" s="11">
        <v>44562</v>
      </c>
      <c r="T17" s="73">
        <v>3319.89</v>
      </c>
      <c r="U17" s="19">
        <f t="shared" si="2"/>
        <v>1.1942351014646579E-3</v>
      </c>
      <c r="V17" s="73"/>
      <c r="W17" s="115">
        <v>265.19</v>
      </c>
      <c r="X17" s="19">
        <f t="shared" si="3"/>
        <v>-1.9739030791409373E-2</v>
      </c>
      <c r="AA17" s="68"/>
      <c r="AJ17" s="11">
        <v>44562</v>
      </c>
      <c r="AK17">
        <v>935.46</v>
      </c>
      <c r="AL17" s="19">
        <f t="shared" si="4"/>
        <v>-0.15954502982821817</v>
      </c>
      <c r="AN17" s="115">
        <v>265.19</v>
      </c>
      <c r="AO17" s="19">
        <f t="shared" si="5"/>
        <v>-1.9739030791409373E-2</v>
      </c>
      <c r="AR17" s="68"/>
      <c r="BA17" s="11">
        <v>44562</v>
      </c>
      <c r="BB17">
        <v>264.94</v>
      </c>
      <c r="BC17" s="19">
        <f t="shared" si="6"/>
        <v>-0.19826907946498817</v>
      </c>
      <c r="BE17" s="115">
        <v>265.19</v>
      </c>
      <c r="BF17" s="19">
        <f t="shared" si="7"/>
        <v>-1.9739030791409373E-2</v>
      </c>
      <c r="BI17" s="68"/>
      <c r="BR17" s="11">
        <v>44562</v>
      </c>
      <c r="BS17" s="73">
        <v>5971.94</v>
      </c>
      <c r="BT17" s="19">
        <f t="shared" si="8"/>
        <v>-0.14479734558009594</v>
      </c>
      <c r="BV17" s="115">
        <v>265.19</v>
      </c>
      <c r="BW17" s="19">
        <f t="shared" si="9"/>
        <v>-1.9739030791409373E-2</v>
      </c>
      <c r="BZ17" s="68"/>
    </row>
    <row r="18" spans="2:82" x14ac:dyDescent="0.25">
      <c r="B18" s="74">
        <v>44593</v>
      </c>
      <c r="C18" s="75">
        <v>1540.1</v>
      </c>
      <c r="D18" s="19">
        <f t="shared" si="0"/>
        <v>-1.1869626587963533E-2</v>
      </c>
      <c r="F18" s="115">
        <v>255.89</v>
      </c>
      <c r="G18" s="19">
        <f t="shared" si="1"/>
        <v>-3.5069195671028397E-2</v>
      </c>
      <c r="I18" t="s">
        <v>200</v>
      </c>
      <c r="J18" s="68">
        <f>J37</f>
        <v>-0.55864318911493416</v>
      </c>
      <c r="S18" s="11">
        <v>44593</v>
      </c>
      <c r="T18" s="73">
        <v>3158.13</v>
      </c>
      <c r="U18" s="19">
        <f t="shared" si="2"/>
        <v>-4.8724505932425388E-2</v>
      </c>
      <c r="V18" s="73"/>
      <c r="W18" s="115">
        <v>255.89</v>
      </c>
      <c r="X18" s="19">
        <f t="shared" si="3"/>
        <v>-3.5069195671028397E-2</v>
      </c>
      <c r="Z18" t="s">
        <v>200</v>
      </c>
      <c r="AA18" s="68">
        <f>AA37</f>
        <v>-0.72507980098694613</v>
      </c>
      <c r="AJ18" s="11">
        <v>44593</v>
      </c>
      <c r="AK18">
        <v>958.9</v>
      </c>
      <c r="AL18" s="19">
        <f t="shared" si="4"/>
        <v>2.5057191114531863E-2</v>
      </c>
      <c r="AN18" s="115">
        <v>255.89</v>
      </c>
      <c r="AO18" s="19">
        <f t="shared" si="5"/>
        <v>-3.5069195671028397E-2</v>
      </c>
      <c r="AQ18" t="s">
        <v>200</v>
      </c>
      <c r="AR18" s="68">
        <f>AR37</f>
        <v>-0.69639833259713557</v>
      </c>
      <c r="BA18" s="11">
        <v>44593</v>
      </c>
      <c r="BB18">
        <v>257.17</v>
      </c>
      <c r="BC18" s="19">
        <f t="shared" si="6"/>
        <v>-2.9327394881859981E-2</v>
      </c>
      <c r="BE18" s="115">
        <v>255.89</v>
      </c>
      <c r="BF18" s="19">
        <f t="shared" si="7"/>
        <v>-3.5069195671028397E-2</v>
      </c>
      <c r="BH18" t="s">
        <v>200</v>
      </c>
      <c r="BI18" s="68">
        <f>BI37</f>
        <v>-0.36690987607974829</v>
      </c>
      <c r="BR18" s="11">
        <v>44593</v>
      </c>
      <c r="BS18" s="73">
        <v>5571.41</v>
      </c>
      <c r="BT18" s="19">
        <f t="shared" si="8"/>
        <v>-6.7068657756106043E-2</v>
      </c>
      <c r="BV18" s="115">
        <v>255.89</v>
      </c>
      <c r="BW18" s="19">
        <f t="shared" si="9"/>
        <v>-3.5069195671028397E-2</v>
      </c>
      <c r="BY18" t="s">
        <v>200</v>
      </c>
      <c r="BZ18" s="68">
        <f>BZ37</f>
        <v>-0.42203533639380342</v>
      </c>
    </row>
    <row r="19" spans="2:82" x14ac:dyDescent="0.25">
      <c r="B19" s="74">
        <v>44621</v>
      </c>
      <c r="C19" s="75">
        <v>1711.79</v>
      </c>
      <c r="D19" s="19">
        <f t="shared" si="0"/>
        <v>0.1114797740406468</v>
      </c>
      <c r="F19" s="115">
        <v>241.9</v>
      </c>
      <c r="G19" s="19">
        <f t="shared" si="1"/>
        <v>-5.4671929344640158E-2</v>
      </c>
      <c r="S19" s="11">
        <v>44621</v>
      </c>
      <c r="T19" s="73">
        <v>3323.18</v>
      </c>
      <c r="U19" s="19">
        <f t="shared" si="2"/>
        <v>5.2261939818816661E-2</v>
      </c>
      <c r="V19" s="73"/>
      <c r="W19" s="115">
        <v>241.9</v>
      </c>
      <c r="X19" s="19">
        <f t="shared" si="3"/>
        <v>-5.4671929344640158E-2</v>
      </c>
      <c r="AJ19" s="11">
        <v>44621</v>
      </c>
      <c r="AK19">
        <v>990.22</v>
      </c>
      <c r="AL19" s="19">
        <f t="shared" si="4"/>
        <v>3.2662425696110109E-2</v>
      </c>
      <c r="AN19" s="115">
        <v>241.9</v>
      </c>
      <c r="AO19" s="19">
        <f t="shared" si="5"/>
        <v>-5.4671929344640158E-2</v>
      </c>
      <c r="BA19" s="11">
        <v>44621</v>
      </c>
      <c r="BB19">
        <v>273.87</v>
      </c>
      <c r="BC19" s="19">
        <f t="shared" si="6"/>
        <v>6.4937589921063799E-2</v>
      </c>
      <c r="BE19" s="115">
        <v>241.9</v>
      </c>
      <c r="BF19" s="19">
        <f t="shared" si="7"/>
        <v>-5.4671929344640158E-2</v>
      </c>
      <c r="BR19" s="11">
        <v>44621</v>
      </c>
      <c r="BS19" s="73">
        <v>5862.46</v>
      </c>
      <c r="BT19" s="19">
        <f t="shared" si="8"/>
        <v>5.2239917722802787E-2</v>
      </c>
      <c r="BV19" s="115">
        <v>241.9</v>
      </c>
      <c r="BW19" s="19">
        <f t="shared" si="9"/>
        <v>-5.4671929344640158E-2</v>
      </c>
    </row>
    <row r="20" spans="2:82" x14ac:dyDescent="0.25">
      <c r="B20" s="74">
        <v>44652</v>
      </c>
      <c r="C20" s="75">
        <v>1407.2</v>
      </c>
      <c r="D20" s="19">
        <f t="shared" si="0"/>
        <v>-0.17793654595481923</v>
      </c>
      <c r="F20" s="115">
        <v>256.27999999999997</v>
      </c>
      <c r="G20" s="19">
        <f t="shared" si="1"/>
        <v>5.9446052087639423E-2</v>
      </c>
      <c r="I20" t="s">
        <v>201</v>
      </c>
      <c r="S20" s="11">
        <v>44652</v>
      </c>
      <c r="T20" s="73">
        <v>3151.46</v>
      </c>
      <c r="U20" s="19">
        <f t="shared" si="2"/>
        <v>-5.1673397167772972E-2</v>
      </c>
      <c r="V20" s="73"/>
      <c r="W20" s="115">
        <v>256.27999999999997</v>
      </c>
      <c r="X20" s="19">
        <f t="shared" si="3"/>
        <v>5.9446052087639423E-2</v>
      </c>
      <c r="Z20" t="s">
        <v>201</v>
      </c>
      <c r="AJ20" s="11">
        <v>44652</v>
      </c>
      <c r="AK20">
        <v>933.66</v>
      </c>
      <c r="AL20" s="19">
        <f t="shared" si="4"/>
        <v>-5.7118620104623319E-2</v>
      </c>
      <c r="AN20" s="115">
        <v>256.27999999999997</v>
      </c>
      <c r="AO20" s="19">
        <f t="shared" si="5"/>
        <v>5.9446052087639423E-2</v>
      </c>
      <c r="AQ20" t="s">
        <v>201</v>
      </c>
      <c r="BA20" s="11">
        <v>44652</v>
      </c>
      <c r="BB20">
        <v>237.38</v>
      </c>
      <c r="BC20" s="19">
        <f t="shared" si="6"/>
        <v>-0.1332383977799686</v>
      </c>
      <c r="BE20" s="115">
        <v>256.27999999999997</v>
      </c>
      <c r="BF20" s="19">
        <f t="shared" si="7"/>
        <v>5.9446052087639423E-2</v>
      </c>
      <c r="BH20" t="s">
        <v>201</v>
      </c>
      <c r="BR20" s="11">
        <v>44652</v>
      </c>
      <c r="BS20" s="73">
        <v>4608.76</v>
      </c>
      <c r="BT20" s="19">
        <f t="shared" si="8"/>
        <v>-0.21385220538818173</v>
      </c>
      <c r="BV20" s="115">
        <v>256.27999999999997</v>
      </c>
      <c r="BW20" s="19">
        <f t="shared" si="9"/>
        <v>5.9446052087639423E-2</v>
      </c>
      <c r="BY20" t="s">
        <v>201</v>
      </c>
    </row>
    <row r="21" spans="2:82" ht="15.75" thickBot="1" x14ac:dyDescent="0.3">
      <c r="B21" s="74">
        <v>44682</v>
      </c>
      <c r="C21" s="75">
        <v>1364.09</v>
      </c>
      <c r="D21" s="19">
        <f t="shared" si="0"/>
        <v>-3.0635304150085418E-2</v>
      </c>
      <c r="F21" s="115">
        <v>257.45</v>
      </c>
      <c r="G21" s="19">
        <f t="shared" si="1"/>
        <v>4.5653191821446448E-3</v>
      </c>
      <c r="S21" s="11">
        <v>44682</v>
      </c>
      <c r="T21" s="73">
        <v>3009.57</v>
      </c>
      <c r="U21" s="19">
        <f t="shared" si="2"/>
        <v>-4.5023576374125018E-2</v>
      </c>
      <c r="V21" s="73"/>
      <c r="W21" s="115">
        <v>257.45</v>
      </c>
      <c r="X21" s="19">
        <f t="shared" si="3"/>
        <v>4.5653191821446448E-3</v>
      </c>
      <c r="AJ21" s="11">
        <v>44682</v>
      </c>
      <c r="AK21">
        <v>900.35</v>
      </c>
      <c r="AL21" s="19">
        <f t="shared" si="4"/>
        <v>-3.5676798834693546E-2</v>
      </c>
      <c r="AN21" s="115">
        <v>257.45</v>
      </c>
      <c r="AO21" s="19">
        <f t="shared" si="5"/>
        <v>4.5653191821446448E-3</v>
      </c>
      <c r="BA21" s="11">
        <v>44682</v>
      </c>
      <c r="BB21">
        <v>223.04</v>
      </c>
      <c r="BC21" s="19">
        <f t="shared" si="6"/>
        <v>-6.0409470048024327E-2</v>
      </c>
      <c r="BE21" s="115">
        <v>257.45</v>
      </c>
      <c r="BF21" s="19">
        <f t="shared" si="7"/>
        <v>4.5653191821446448E-3</v>
      </c>
      <c r="BR21" s="11">
        <v>44682</v>
      </c>
      <c r="BS21" s="73">
        <v>4051.27</v>
      </c>
      <c r="BT21" s="19">
        <f t="shared" si="8"/>
        <v>-0.12096312240168727</v>
      </c>
      <c r="BV21" s="115">
        <v>257.45</v>
      </c>
      <c r="BW21" s="19">
        <f t="shared" si="9"/>
        <v>4.5653191821446448E-3</v>
      </c>
    </row>
    <row r="22" spans="2:82" x14ac:dyDescent="0.25">
      <c r="B22" s="74">
        <v>44713</v>
      </c>
      <c r="C22" s="75">
        <v>1326.25</v>
      </c>
      <c r="D22" s="19">
        <f t="shared" si="0"/>
        <v>-2.7740105125028336E-2</v>
      </c>
      <c r="F22" s="115">
        <v>262.32</v>
      </c>
      <c r="G22" s="19">
        <f t="shared" si="1"/>
        <v>1.8916294426102098E-2</v>
      </c>
      <c r="I22" s="156" t="s">
        <v>202</v>
      </c>
      <c r="J22" s="156"/>
      <c r="S22" s="11">
        <v>44713</v>
      </c>
      <c r="T22" s="73">
        <v>2922.58</v>
      </c>
      <c r="U22" s="19">
        <f t="shared" si="2"/>
        <v>-2.8904461434690054E-2</v>
      </c>
      <c r="V22" s="73"/>
      <c r="W22" s="115">
        <v>262.32</v>
      </c>
      <c r="X22" s="19">
        <f t="shared" si="3"/>
        <v>1.8916294426102098E-2</v>
      </c>
      <c r="Z22" s="156" t="s">
        <v>202</v>
      </c>
      <c r="AA22" s="156"/>
      <c r="AJ22" s="11">
        <v>44713</v>
      </c>
      <c r="AK22">
        <v>841.96</v>
      </c>
      <c r="AL22" s="19">
        <f t="shared" si="4"/>
        <v>-6.4852557338812677E-2</v>
      </c>
      <c r="AN22" s="115">
        <v>262.32</v>
      </c>
      <c r="AO22" s="19">
        <f t="shared" si="5"/>
        <v>1.8916294426102098E-2</v>
      </c>
      <c r="AQ22" s="156" t="s">
        <v>202</v>
      </c>
      <c r="AR22" s="156"/>
      <c r="BA22" s="11">
        <v>44713</v>
      </c>
      <c r="BB22">
        <v>194.11</v>
      </c>
      <c r="BC22" s="19">
        <f t="shared" si="6"/>
        <v>-0.12970767575322806</v>
      </c>
      <c r="BE22" s="115">
        <v>262.32</v>
      </c>
      <c r="BF22" s="19">
        <f t="shared" si="7"/>
        <v>1.8916294426102098E-2</v>
      </c>
      <c r="BH22" s="156" t="s">
        <v>202</v>
      </c>
      <c r="BI22" s="156"/>
      <c r="BR22" s="11">
        <v>44713</v>
      </c>
      <c r="BS22" s="73">
        <v>3814.26</v>
      </c>
      <c r="BT22" s="19">
        <f t="shared" si="8"/>
        <v>-5.8502642381277892E-2</v>
      </c>
      <c r="BV22" s="115">
        <v>262.32</v>
      </c>
      <c r="BW22" s="19">
        <f t="shared" si="9"/>
        <v>1.8916294426102098E-2</v>
      </c>
      <c r="BY22" s="156" t="s">
        <v>202</v>
      </c>
      <c r="BZ22" s="156"/>
    </row>
    <row r="23" spans="2:82" x14ac:dyDescent="0.25">
      <c r="B23" s="74">
        <v>44743</v>
      </c>
      <c r="C23" s="75">
        <v>1405.91</v>
      </c>
      <c r="D23" s="19">
        <f t="shared" si="0"/>
        <v>6.0064090480678622E-2</v>
      </c>
      <c r="F23" s="115">
        <v>263.58</v>
      </c>
      <c r="G23" s="19">
        <f t="shared" si="1"/>
        <v>4.8032936870996412E-3</v>
      </c>
      <c r="I23" t="s">
        <v>203</v>
      </c>
      <c r="J23">
        <v>0.28644176112506581</v>
      </c>
      <c r="S23" s="11">
        <v>44743</v>
      </c>
      <c r="T23" s="73">
        <v>2961.5</v>
      </c>
      <c r="U23" s="19">
        <f t="shared" si="2"/>
        <v>1.3317000732229856E-2</v>
      </c>
      <c r="V23" s="73"/>
      <c r="W23" s="115">
        <v>263.58</v>
      </c>
      <c r="X23" s="19">
        <f t="shared" si="3"/>
        <v>4.8032936870996412E-3</v>
      </c>
      <c r="Z23" t="s">
        <v>203</v>
      </c>
      <c r="AA23">
        <v>0.41410329102397886</v>
      </c>
      <c r="AJ23" s="11">
        <v>44743</v>
      </c>
      <c r="AK23">
        <v>829.67</v>
      </c>
      <c r="AL23" s="19">
        <f t="shared" si="4"/>
        <v>-1.4596892964036434E-2</v>
      </c>
      <c r="AN23" s="115">
        <v>263.58</v>
      </c>
      <c r="AO23" s="19">
        <f t="shared" si="5"/>
        <v>4.8032936870996412E-3</v>
      </c>
      <c r="AQ23" t="s">
        <v>203</v>
      </c>
      <c r="AR23">
        <v>0.32848050859873962</v>
      </c>
      <c r="BA23" s="11">
        <v>44743</v>
      </c>
      <c r="BB23">
        <v>197.68</v>
      </c>
      <c r="BC23" s="19">
        <f t="shared" si="6"/>
        <v>1.8391633609808888E-2</v>
      </c>
      <c r="BE23" s="115">
        <v>263.58</v>
      </c>
      <c r="BF23" s="19">
        <f t="shared" si="7"/>
        <v>4.8032936870996412E-3</v>
      </c>
      <c r="BH23" t="s">
        <v>203</v>
      </c>
      <c r="BI23">
        <v>0.17274207085746079</v>
      </c>
      <c r="BR23" s="11">
        <v>44743</v>
      </c>
      <c r="BS23" s="73">
        <v>4538.93</v>
      </c>
      <c r="BT23" s="19">
        <f t="shared" si="8"/>
        <v>0.18998967034234693</v>
      </c>
      <c r="BV23" s="115">
        <v>263.58</v>
      </c>
      <c r="BW23" s="19">
        <f t="shared" si="9"/>
        <v>4.8032936870996412E-3</v>
      </c>
      <c r="BY23" t="s">
        <v>203</v>
      </c>
      <c r="BZ23">
        <v>0.16180832285757338</v>
      </c>
    </row>
    <row r="24" spans="2:82" x14ac:dyDescent="0.25">
      <c r="B24" s="74">
        <v>44774</v>
      </c>
      <c r="C24" s="75">
        <v>1354.42</v>
      </c>
      <c r="D24" s="19">
        <f t="shared" si="0"/>
        <v>-3.6623965972217287E-2</v>
      </c>
      <c r="F24" s="115">
        <v>280.60000000000002</v>
      </c>
      <c r="G24" s="19">
        <f t="shared" si="1"/>
        <v>6.4572425828970381E-2</v>
      </c>
      <c r="I24" t="s">
        <v>204</v>
      </c>
      <c r="J24">
        <v>8.2048882516429264E-2</v>
      </c>
      <c r="S24" s="11">
        <v>44774</v>
      </c>
      <c r="T24" s="73">
        <v>2880.11</v>
      </c>
      <c r="U24" s="19">
        <f t="shared" si="2"/>
        <v>-2.7482694580449052E-2</v>
      </c>
      <c r="V24" s="73"/>
      <c r="W24" s="115">
        <v>280.60000000000002</v>
      </c>
      <c r="X24" s="19">
        <f t="shared" si="3"/>
        <v>6.4572425828970381E-2</v>
      </c>
      <c r="Z24" t="s">
        <v>204</v>
      </c>
      <c r="AA24">
        <v>0.17148153563689014</v>
      </c>
      <c r="AJ24" s="11">
        <v>44774</v>
      </c>
      <c r="AK24">
        <v>821.41</v>
      </c>
      <c r="AL24" s="19">
        <f t="shared" si="4"/>
        <v>-9.9557655453372806E-3</v>
      </c>
      <c r="AN24" s="115">
        <v>280.60000000000002</v>
      </c>
      <c r="AO24" s="19">
        <f t="shared" si="5"/>
        <v>6.4572425828970381E-2</v>
      </c>
      <c r="AQ24" t="s">
        <v>204</v>
      </c>
      <c r="AR24">
        <v>0.10789944452928667</v>
      </c>
      <c r="BA24" s="11">
        <v>44774</v>
      </c>
      <c r="BB24">
        <v>192.94</v>
      </c>
      <c r="BC24" s="19">
        <f t="shared" si="6"/>
        <v>-2.3978146499393005E-2</v>
      </c>
      <c r="BE24" s="115">
        <v>280.60000000000002</v>
      </c>
      <c r="BF24" s="19">
        <f t="shared" si="7"/>
        <v>6.4572425828970381E-2</v>
      </c>
      <c r="BH24" t="s">
        <v>204</v>
      </c>
      <c r="BI24">
        <v>2.9839823044124004E-2</v>
      </c>
      <c r="BR24" s="11">
        <v>44774</v>
      </c>
      <c r="BS24" s="73">
        <v>4453.49</v>
      </c>
      <c r="BT24" s="19">
        <f t="shared" si="8"/>
        <v>-1.8823819710813039E-2</v>
      </c>
      <c r="BV24" s="115">
        <v>280.60000000000002</v>
      </c>
      <c r="BW24" s="19">
        <f t="shared" si="9"/>
        <v>6.4572425828970381E-2</v>
      </c>
      <c r="BY24" t="s">
        <v>204</v>
      </c>
      <c r="BZ24">
        <v>2.6181933345980707E-2</v>
      </c>
    </row>
    <row r="25" spans="2:82" x14ac:dyDescent="0.25">
      <c r="B25" s="74">
        <v>44805</v>
      </c>
      <c r="C25" s="75">
        <v>1282.3</v>
      </c>
      <c r="D25" s="19">
        <f t="shared" si="0"/>
        <v>-5.3247884703415571E-2</v>
      </c>
      <c r="F25" s="115">
        <v>273.81</v>
      </c>
      <c r="G25" s="19">
        <f t="shared" si="1"/>
        <v>-2.4198146828225298E-2</v>
      </c>
      <c r="I25" t="s">
        <v>205</v>
      </c>
      <c r="J25">
        <v>6.5944476946542055E-2</v>
      </c>
      <c r="S25" s="11">
        <v>44805</v>
      </c>
      <c r="T25" s="73">
        <v>2694.81</v>
      </c>
      <c r="U25" s="19">
        <f t="shared" si="2"/>
        <v>-6.4337820430469761E-2</v>
      </c>
      <c r="V25" s="73"/>
      <c r="W25" s="115">
        <v>273.81</v>
      </c>
      <c r="X25" s="19">
        <f t="shared" si="3"/>
        <v>-2.4198146828225298E-2</v>
      </c>
      <c r="Z25" t="s">
        <v>205</v>
      </c>
      <c r="AA25">
        <v>0.15694612398139698</v>
      </c>
      <c r="AJ25" s="11">
        <v>44805</v>
      </c>
      <c r="AK25">
        <v>815.63</v>
      </c>
      <c r="AL25" s="19">
        <f t="shared" si="4"/>
        <v>-7.0366808293056415E-3</v>
      </c>
      <c r="AN25" s="115">
        <v>273.81</v>
      </c>
      <c r="AO25" s="19">
        <f t="shared" si="5"/>
        <v>-2.4198146828225298E-2</v>
      </c>
      <c r="AQ25" t="s">
        <v>205</v>
      </c>
      <c r="AR25">
        <v>9.2248557591203983E-2</v>
      </c>
      <c r="BA25" s="11">
        <v>44805</v>
      </c>
      <c r="BB25">
        <v>183.94</v>
      </c>
      <c r="BC25" s="19">
        <f t="shared" si="6"/>
        <v>-4.6646625894060323E-2</v>
      </c>
      <c r="BE25" s="115">
        <v>273.81</v>
      </c>
      <c r="BF25" s="19">
        <f t="shared" si="7"/>
        <v>-2.4198146828225298E-2</v>
      </c>
      <c r="BH25" t="s">
        <v>205</v>
      </c>
      <c r="BI25">
        <v>1.2819469062441972E-2</v>
      </c>
      <c r="BR25" s="11">
        <v>44805</v>
      </c>
      <c r="BS25" s="73">
        <v>4277.1000000000004</v>
      </c>
      <c r="BT25" s="19">
        <f t="shared" si="8"/>
        <v>-3.9607139569191707E-2</v>
      </c>
      <c r="BV25" s="115">
        <v>273.81</v>
      </c>
      <c r="BW25" s="19">
        <f t="shared" si="9"/>
        <v>-2.4198146828225298E-2</v>
      </c>
      <c r="BY25" t="s">
        <v>205</v>
      </c>
      <c r="BZ25">
        <v>9.0974058608224752E-3</v>
      </c>
    </row>
    <row r="26" spans="2:82" x14ac:dyDescent="0.25">
      <c r="B26" s="74">
        <v>44835</v>
      </c>
      <c r="C26" s="75">
        <v>1410.22</v>
      </c>
      <c r="D26" s="19">
        <f t="shared" si="0"/>
        <v>9.9758246900101488E-2</v>
      </c>
      <c r="F26" s="115">
        <v>270.26</v>
      </c>
      <c r="G26" s="19">
        <f t="shared" si="1"/>
        <v>-1.2965194843139405E-2</v>
      </c>
      <c r="I26" t="s">
        <v>206</v>
      </c>
      <c r="J26">
        <v>6.4228958404924361E-2</v>
      </c>
      <c r="S26" s="11">
        <v>44835</v>
      </c>
      <c r="T26" s="73">
        <v>2871.38</v>
      </c>
      <c r="U26" s="19">
        <f t="shared" si="2"/>
        <v>6.5522244610937364E-2</v>
      </c>
      <c r="V26" s="73"/>
      <c r="W26" s="115">
        <v>270.26</v>
      </c>
      <c r="X26" s="19">
        <f t="shared" si="3"/>
        <v>-1.2965194843139405E-2</v>
      </c>
      <c r="Z26" t="s">
        <v>206</v>
      </c>
      <c r="AA26">
        <v>5.4783673367430778E-2</v>
      </c>
      <c r="AJ26" s="11">
        <v>44835</v>
      </c>
      <c r="AK26">
        <v>919.93</v>
      </c>
      <c r="AL26" s="19">
        <f t="shared" si="4"/>
        <v>0.12787661071809509</v>
      </c>
      <c r="AN26" s="115">
        <v>270.26</v>
      </c>
      <c r="AO26" s="19">
        <f t="shared" si="5"/>
        <v>-1.2965194843139405E-2</v>
      </c>
      <c r="AQ26" t="s">
        <v>206</v>
      </c>
      <c r="AR26">
        <v>6.8830028867649093E-2</v>
      </c>
      <c r="BA26" s="11">
        <v>44835</v>
      </c>
      <c r="BB26">
        <v>180.35</v>
      </c>
      <c r="BC26" s="19">
        <f t="shared" si="6"/>
        <v>-1.9517233880613216E-2</v>
      </c>
      <c r="BE26" s="115">
        <v>270.26</v>
      </c>
      <c r="BF26" s="19">
        <f t="shared" si="7"/>
        <v>-1.2965194843139405E-2</v>
      </c>
      <c r="BH26" t="s">
        <v>206</v>
      </c>
      <c r="BI26">
        <v>7.1912755599690487E-2</v>
      </c>
      <c r="BR26" s="11">
        <v>44835</v>
      </c>
      <c r="BS26" s="73">
        <v>4547.66</v>
      </c>
      <c r="BT26" s="19">
        <f t="shared" si="8"/>
        <v>6.3257814874564389E-2</v>
      </c>
      <c r="BV26" s="115">
        <v>270.26</v>
      </c>
      <c r="BW26" s="19">
        <f t="shared" si="9"/>
        <v>-1.2965194843139405E-2</v>
      </c>
      <c r="BY26" t="s">
        <v>206</v>
      </c>
      <c r="BZ26">
        <v>8.8472805942631114E-2</v>
      </c>
    </row>
    <row r="27" spans="2:82" ht="15.75" thickBot="1" x14ac:dyDescent="0.3">
      <c r="B27" s="74">
        <v>44866</v>
      </c>
      <c r="C27" s="75">
        <v>1499.46</v>
      </c>
      <c r="D27" s="19">
        <f t="shared" si="0"/>
        <v>6.3280906525223113E-2</v>
      </c>
      <c r="F27" s="115">
        <v>260.3</v>
      </c>
      <c r="G27" s="19">
        <f t="shared" si="1"/>
        <v>-3.6853400429216254E-2</v>
      </c>
      <c r="I27" s="154" t="s">
        <v>207</v>
      </c>
      <c r="J27" s="154">
        <v>59</v>
      </c>
      <c r="S27" s="11">
        <v>44866</v>
      </c>
      <c r="T27" s="73">
        <v>3049.11</v>
      </c>
      <c r="U27" s="19">
        <f t="shared" si="2"/>
        <v>6.1897066915559851E-2</v>
      </c>
      <c r="V27" s="73"/>
      <c r="W27" s="115">
        <v>260.3</v>
      </c>
      <c r="X27" s="19">
        <f t="shared" si="3"/>
        <v>-3.6853400429216254E-2</v>
      </c>
      <c r="Z27" s="154" t="s">
        <v>207</v>
      </c>
      <c r="AA27" s="154">
        <v>59</v>
      </c>
      <c r="AJ27" s="11">
        <v>44866</v>
      </c>
      <c r="AK27">
        <v>990.31</v>
      </c>
      <c r="AL27" s="19">
        <f t="shared" si="4"/>
        <v>7.6505821095083304E-2</v>
      </c>
      <c r="AN27" s="115">
        <v>260.3</v>
      </c>
      <c r="AO27" s="19">
        <f t="shared" si="5"/>
        <v>-3.6853400429216254E-2</v>
      </c>
      <c r="AQ27" s="154" t="s">
        <v>207</v>
      </c>
      <c r="AR27" s="154">
        <v>59</v>
      </c>
      <c r="BA27" s="11">
        <v>44866</v>
      </c>
      <c r="BB27">
        <v>189.84</v>
      </c>
      <c r="BC27" s="19">
        <f t="shared" si="6"/>
        <v>5.2619905738841233E-2</v>
      </c>
      <c r="BE27" s="115">
        <v>260.3</v>
      </c>
      <c r="BF27" s="19">
        <f t="shared" si="7"/>
        <v>-3.6853400429216254E-2</v>
      </c>
      <c r="BH27" s="154" t="s">
        <v>207</v>
      </c>
      <c r="BI27" s="154">
        <v>59</v>
      </c>
      <c r="BR27" s="11">
        <v>44866</v>
      </c>
      <c r="BS27" s="73">
        <v>4642.3599999999997</v>
      </c>
      <c r="BT27" s="19">
        <f t="shared" si="8"/>
        <v>2.0823896245541595E-2</v>
      </c>
      <c r="BV27" s="115">
        <v>260.3</v>
      </c>
      <c r="BW27" s="19">
        <f t="shared" si="9"/>
        <v>-3.6853400429216254E-2</v>
      </c>
      <c r="BY27" s="154" t="s">
        <v>207</v>
      </c>
      <c r="BZ27" s="154">
        <v>59</v>
      </c>
    </row>
    <row r="28" spans="2:82" x14ac:dyDescent="0.25">
      <c r="B28" s="74">
        <v>44896</v>
      </c>
      <c r="C28" s="75">
        <v>1383.21</v>
      </c>
      <c r="D28" s="19">
        <f t="shared" si="0"/>
        <v>-7.7527910047617166E-2</v>
      </c>
      <c r="F28" s="115">
        <v>243.73</v>
      </c>
      <c r="G28" s="19">
        <f t="shared" si="1"/>
        <v>-6.3657318478678504E-2</v>
      </c>
      <c r="S28" s="11">
        <v>44896</v>
      </c>
      <c r="T28" s="73">
        <v>2928.52</v>
      </c>
      <c r="U28" s="19">
        <f t="shared" si="2"/>
        <v>-3.9549245517544462E-2</v>
      </c>
      <c r="V28" s="73"/>
      <c r="W28" s="115">
        <v>243.73</v>
      </c>
      <c r="X28" s="19">
        <f t="shared" si="3"/>
        <v>-6.3657318478678504E-2</v>
      </c>
      <c r="AJ28" s="11">
        <v>44896</v>
      </c>
      <c r="AK28">
        <v>918.29</v>
      </c>
      <c r="AL28" s="19">
        <f t="shared" si="4"/>
        <v>-7.2724702365925764E-2</v>
      </c>
      <c r="AN28" s="115">
        <v>243.73</v>
      </c>
      <c r="AO28" s="19">
        <f t="shared" si="5"/>
        <v>-6.3657318478678504E-2</v>
      </c>
      <c r="BA28" s="11">
        <v>44896</v>
      </c>
      <c r="BB28">
        <v>183.24</v>
      </c>
      <c r="BC28" s="19">
        <f t="shared" si="6"/>
        <v>-3.4766118836915272E-2</v>
      </c>
      <c r="BE28" s="115">
        <v>243.73</v>
      </c>
      <c r="BF28" s="19">
        <f t="shared" si="7"/>
        <v>-6.3657318478678504E-2</v>
      </c>
      <c r="BR28" s="11">
        <v>44896</v>
      </c>
      <c r="BS28" s="73">
        <v>4188.3900000000003</v>
      </c>
      <c r="BT28" s="19">
        <f t="shared" si="8"/>
        <v>-9.7788624751203979E-2</v>
      </c>
      <c r="BV28" s="115">
        <v>243.73</v>
      </c>
      <c r="BW28" s="19">
        <f t="shared" si="9"/>
        <v>-6.3657318478678504E-2</v>
      </c>
    </row>
    <row r="29" spans="2:82" ht="15.75" thickBot="1" x14ac:dyDescent="0.3">
      <c r="B29" s="74">
        <v>44927</v>
      </c>
      <c r="C29" s="75">
        <v>1406.64</v>
      </c>
      <c r="D29" s="19">
        <f t="shared" si="0"/>
        <v>1.6938859609169965E-2</v>
      </c>
      <c r="F29" s="115">
        <v>243.52</v>
      </c>
      <c r="G29" s="19">
        <f t="shared" si="1"/>
        <v>-8.6160915767441448E-4</v>
      </c>
      <c r="I29" t="s">
        <v>208</v>
      </c>
      <c r="S29" s="11">
        <v>44927</v>
      </c>
      <c r="T29" s="73">
        <v>3088.9</v>
      </c>
      <c r="U29" s="19">
        <f t="shared" si="2"/>
        <v>5.4764864163468374E-2</v>
      </c>
      <c r="V29" s="73"/>
      <c r="W29" s="115">
        <v>243.52</v>
      </c>
      <c r="X29" s="19">
        <f t="shared" si="3"/>
        <v>-8.6160915767441448E-4</v>
      </c>
      <c r="Z29" t="s">
        <v>208</v>
      </c>
      <c r="AJ29" s="11">
        <v>44927</v>
      </c>
      <c r="AK29" s="73">
        <v>1000.51</v>
      </c>
      <c r="AL29" s="19">
        <f t="shared" si="4"/>
        <v>8.9535985364100679E-2</v>
      </c>
      <c r="AN29" s="115">
        <v>243.52</v>
      </c>
      <c r="AO29" s="19">
        <f t="shared" si="5"/>
        <v>-8.6160915767441448E-4</v>
      </c>
      <c r="AQ29" t="s">
        <v>208</v>
      </c>
      <c r="BA29" s="11">
        <v>44927</v>
      </c>
      <c r="BB29">
        <v>186.54</v>
      </c>
      <c r="BC29" s="19">
        <f t="shared" si="6"/>
        <v>1.8009168303863676E-2</v>
      </c>
      <c r="BE29" s="115">
        <v>243.52</v>
      </c>
      <c r="BF29" s="19">
        <f t="shared" si="7"/>
        <v>-8.6160915767441448E-4</v>
      </c>
      <c r="BH29" t="s">
        <v>208</v>
      </c>
      <c r="BR29" s="11">
        <v>44927</v>
      </c>
      <c r="BS29" s="73">
        <v>4210.34</v>
      </c>
      <c r="BT29" s="19">
        <f t="shared" si="8"/>
        <v>5.2406772053223971E-3</v>
      </c>
      <c r="BV29" s="115">
        <v>243.52</v>
      </c>
      <c r="BW29" s="19">
        <f t="shared" si="9"/>
        <v>-8.6160915767441448E-4</v>
      </c>
      <c r="BY29" t="s">
        <v>208</v>
      </c>
    </row>
    <row r="30" spans="2:82" x14ac:dyDescent="0.25">
      <c r="B30" s="74">
        <v>44958</v>
      </c>
      <c r="C30" s="75">
        <v>1364.27</v>
      </c>
      <c r="D30" s="19">
        <f t="shared" si="0"/>
        <v>-3.0121424102826699E-2</v>
      </c>
      <c r="F30" s="115">
        <v>240.7</v>
      </c>
      <c r="G30" s="19">
        <f t="shared" si="1"/>
        <v>-1.1580157687253734E-2</v>
      </c>
      <c r="I30" s="155"/>
      <c r="J30" s="155" t="s">
        <v>212</v>
      </c>
      <c r="K30" s="155" t="s">
        <v>213</v>
      </c>
      <c r="L30" s="155" t="s">
        <v>214</v>
      </c>
      <c r="M30" s="155" t="s">
        <v>215</v>
      </c>
      <c r="N30" s="155" t="s">
        <v>216</v>
      </c>
      <c r="S30" s="11">
        <v>44958</v>
      </c>
      <c r="T30" s="73">
        <v>3046.73</v>
      </c>
      <c r="U30" s="19">
        <f t="shared" si="2"/>
        <v>-1.3652109165074977E-2</v>
      </c>
      <c r="V30" s="73"/>
      <c r="W30" s="115">
        <v>240.7</v>
      </c>
      <c r="X30" s="19">
        <f t="shared" si="3"/>
        <v>-1.1580157687253734E-2</v>
      </c>
      <c r="Z30" s="155"/>
      <c r="AA30" s="155" t="s">
        <v>212</v>
      </c>
      <c r="AB30" s="155" t="s">
        <v>213</v>
      </c>
      <c r="AC30" s="155" t="s">
        <v>214</v>
      </c>
      <c r="AD30" s="155" t="s">
        <v>215</v>
      </c>
      <c r="AE30" s="155" t="s">
        <v>216</v>
      </c>
      <c r="AJ30" s="11">
        <v>44958</v>
      </c>
      <c r="AK30">
        <v>960.75</v>
      </c>
      <c r="AL30" s="19">
        <f t="shared" si="4"/>
        <v>-3.9739732736304489E-2</v>
      </c>
      <c r="AN30" s="115">
        <v>240.7</v>
      </c>
      <c r="AO30" s="19">
        <f t="shared" si="5"/>
        <v>-1.1580157687253734E-2</v>
      </c>
      <c r="AQ30" s="155"/>
      <c r="AR30" s="155" t="s">
        <v>212</v>
      </c>
      <c r="AS30" s="155" t="s">
        <v>213</v>
      </c>
      <c r="AT30" s="155" t="s">
        <v>214</v>
      </c>
      <c r="AU30" s="155" t="s">
        <v>215</v>
      </c>
      <c r="AV30" s="155" t="s">
        <v>216</v>
      </c>
      <c r="BA30" s="11">
        <v>44958</v>
      </c>
      <c r="BB30">
        <v>181.02</v>
      </c>
      <c r="BC30" s="19">
        <f t="shared" si="6"/>
        <v>-2.9591508523640897E-2</v>
      </c>
      <c r="BE30" s="115">
        <v>240.7</v>
      </c>
      <c r="BF30" s="19">
        <f t="shared" si="7"/>
        <v>-1.1580157687253734E-2</v>
      </c>
      <c r="BH30" s="155"/>
      <c r="BI30" s="155" t="s">
        <v>212</v>
      </c>
      <c r="BJ30" s="155" t="s">
        <v>213</v>
      </c>
      <c r="BK30" s="155" t="s">
        <v>214</v>
      </c>
      <c r="BL30" s="155" t="s">
        <v>215</v>
      </c>
      <c r="BM30" s="155" t="s">
        <v>216</v>
      </c>
      <c r="BR30" s="11">
        <v>44958</v>
      </c>
      <c r="BS30" s="73">
        <v>4551.04</v>
      </c>
      <c r="BT30" s="19">
        <f t="shared" si="8"/>
        <v>8.0919830702508522E-2</v>
      </c>
      <c r="BV30" s="115">
        <v>240.7</v>
      </c>
      <c r="BW30" s="19">
        <f t="shared" si="9"/>
        <v>-1.1580157687253734E-2</v>
      </c>
      <c r="BY30" s="155"/>
      <c r="BZ30" s="155" t="s">
        <v>212</v>
      </c>
      <c r="CA30" s="155" t="s">
        <v>213</v>
      </c>
      <c r="CB30" s="155" t="s">
        <v>214</v>
      </c>
      <c r="CC30" s="155" t="s">
        <v>215</v>
      </c>
      <c r="CD30" s="155" t="s">
        <v>216</v>
      </c>
    </row>
    <row r="31" spans="2:82" x14ac:dyDescent="0.25">
      <c r="B31" s="74">
        <v>44986</v>
      </c>
      <c r="C31" s="75">
        <v>1309.6099999999999</v>
      </c>
      <c r="D31" s="19">
        <f t="shared" si="0"/>
        <v>-4.0065382952054973E-2</v>
      </c>
      <c r="F31" s="115">
        <v>236.83</v>
      </c>
      <c r="G31" s="19">
        <f t="shared" si="1"/>
        <v>-1.6078105525550335E-2</v>
      </c>
      <c r="I31" t="s">
        <v>209</v>
      </c>
      <c r="J31">
        <v>1</v>
      </c>
      <c r="K31">
        <v>2.1017919753888059E-2</v>
      </c>
      <c r="L31">
        <v>2.1017919753888059E-2</v>
      </c>
      <c r="M31">
        <v>5.0948097500629412</v>
      </c>
      <c r="N31">
        <v>2.7846849782620208E-2</v>
      </c>
      <c r="S31" s="11">
        <v>44986</v>
      </c>
      <c r="T31" s="73">
        <v>2948.37</v>
      </c>
      <c r="U31" s="19">
        <f t="shared" si="2"/>
        <v>-3.2283792787677346E-2</v>
      </c>
      <c r="V31" s="73"/>
      <c r="W31" s="115">
        <v>236.83</v>
      </c>
      <c r="X31" s="19">
        <f t="shared" si="3"/>
        <v>-1.6078105525550335E-2</v>
      </c>
      <c r="Z31" t="s">
        <v>209</v>
      </c>
      <c r="AA31">
        <v>1</v>
      </c>
      <c r="AB31">
        <v>3.5407260544845415E-2</v>
      </c>
      <c r="AC31">
        <v>3.5407260544845415E-2</v>
      </c>
      <c r="AD31">
        <v>11.797501144185665</v>
      </c>
      <c r="AE31">
        <v>1.1124049300238164E-3</v>
      </c>
      <c r="AJ31" s="11">
        <v>44986</v>
      </c>
      <c r="AK31">
        <v>967.57</v>
      </c>
      <c r="AL31" s="19">
        <f t="shared" si="4"/>
        <v>7.0986208691126151E-3</v>
      </c>
      <c r="AN31" s="115">
        <v>236.83</v>
      </c>
      <c r="AO31" s="19">
        <f t="shared" si="5"/>
        <v>-1.6078105525550335E-2</v>
      </c>
      <c r="AQ31" t="s">
        <v>209</v>
      </c>
      <c r="AR31">
        <v>1</v>
      </c>
      <c r="AS31">
        <v>3.2661502414236876E-2</v>
      </c>
      <c r="AT31">
        <v>3.2661502414236876E-2</v>
      </c>
      <c r="AU31">
        <v>6.8941424825413042</v>
      </c>
      <c r="AV31">
        <v>1.1084227421717864E-2</v>
      </c>
      <c r="BA31" s="11">
        <v>44986</v>
      </c>
      <c r="BB31">
        <v>170.83</v>
      </c>
      <c r="BC31" s="19">
        <f t="shared" si="6"/>
        <v>-5.6292122417412438E-2</v>
      </c>
      <c r="BE31" s="115">
        <v>236.83</v>
      </c>
      <c r="BF31" s="19">
        <f t="shared" si="7"/>
        <v>-1.6078105525550335E-2</v>
      </c>
      <c r="BH31" t="s">
        <v>209</v>
      </c>
      <c r="BI31">
        <v>1</v>
      </c>
      <c r="BJ31">
        <v>9.0664968824947234E-3</v>
      </c>
      <c r="BK31">
        <v>9.0664968824947234E-3</v>
      </c>
      <c r="BL31">
        <v>1.7531846327190832</v>
      </c>
      <c r="BM31">
        <v>0.19076218755594679</v>
      </c>
      <c r="BR31" s="11">
        <v>44986</v>
      </c>
      <c r="BS31" s="73">
        <v>4587.28</v>
      </c>
      <c r="BT31" s="19">
        <f t="shared" si="8"/>
        <v>7.9630150471101668E-3</v>
      </c>
      <c r="BV31" s="115">
        <v>236.83</v>
      </c>
      <c r="BW31" s="19">
        <f t="shared" si="9"/>
        <v>-1.6078105525550335E-2</v>
      </c>
      <c r="BY31" t="s">
        <v>209</v>
      </c>
      <c r="BZ31">
        <v>1</v>
      </c>
      <c r="CA31">
        <v>1.1995499684057609E-2</v>
      </c>
      <c r="CB31">
        <v>1.1995499684057609E-2</v>
      </c>
      <c r="CC31">
        <v>1.5324938526234118</v>
      </c>
      <c r="CD31">
        <v>0.22081339969709166</v>
      </c>
    </row>
    <row r="32" spans="2:82" x14ac:dyDescent="0.25">
      <c r="B32" s="74">
        <v>45017</v>
      </c>
      <c r="C32" s="75">
        <v>1148.93</v>
      </c>
      <c r="D32" s="19">
        <f t="shared" si="0"/>
        <v>-0.12269301547789024</v>
      </c>
      <c r="F32" s="115">
        <v>233.18</v>
      </c>
      <c r="G32" s="19">
        <f t="shared" si="1"/>
        <v>-1.541189883038474E-2</v>
      </c>
      <c r="I32" t="s">
        <v>210</v>
      </c>
      <c r="J32">
        <v>57</v>
      </c>
      <c r="K32">
        <v>0.23514546857354568</v>
      </c>
      <c r="L32">
        <v>4.1253590977815028E-3</v>
      </c>
      <c r="S32" s="11">
        <v>45017</v>
      </c>
      <c r="T32" s="73">
        <v>2960.65</v>
      </c>
      <c r="U32" s="19">
        <f t="shared" si="2"/>
        <v>4.1650132106894056E-3</v>
      </c>
      <c r="V32" s="73"/>
      <c r="W32" s="115">
        <v>233.18</v>
      </c>
      <c r="X32" s="19">
        <f t="shared" si="3"/>
        <v>-1.541189883038474E-2</v>
      </c>
      <c r="Z32" t="s">
        <v>210</v>
      </c>
      <c r="AA32">
        <v>57</v>
      </c>
      <c r="AB32">
        <v>0.17107129945487265</v>
      </c>
      <c r="AC32">
        <v>3.0012508676293447E-3</v>
      </c>
      <c r="AJ32" s="11">
        <v>45017</v>
      </c>
      <c r="AK32">
        <v>964.93</v>
      </c>
      <c r="AL32" s="19">
        <f t="shared" si="4"/>
        <v>-2.7284847607925711E-3</v>
      </c>
      <c r="AN32" s="115">
        <v>233.18</v>
      </c>
      <c r="AO32" s="19">
        <f t="shared" si="5"/>
        <v>-1.541189883038474E-2</v>
      </c>
      <c r="AQ32" t="s">
        <v>210</v>
      </c>
      <c r="AR32">
        <v>57</v>
      </c>
      <c r="AS32">
        <v>0.27004165381352024</v>
      </c>
      <c r="AT32">
        <v>4.7375728739214081E-3</v>
      </c>
      <c r="BA32" s="11">
        <v>45017</v>
      </c>
      <c r="BB32">
        <v>180.07</v>
      </c>
      <c r="BC32" s="19">
        <f t="shared" si="6"/>
        <v>5.4088860270444128E-2</v>
      </c>
      <c r="BE32" s="115">
        <v>233.18</v>
      </c>
      <c r="BF32" s="19">
        <f t="shared" si="7"/>
        <v>-1.541189883038474E-2</v>
      </c>
      <c r="BH32" t="s">
        <v>210</v>
      </c>
      <c r="BI32">
        <v>57</v>
      </c>
      <c r="BJ32">
        <v>0.29477233182262652</v>
      </c>
      <c r="BK32">
        <v>5.1714444179408164E-3</v>
      </c>
      <c r="BR32" s="11">
        <v>45017</v>
      </c>
      <c r="BS32" s="73">
        <v>4259.3999999999996</v>
      </c>
      <c r="BT32" s="19">
        <f t="shared" si="8"/>
        <v>-7.1475907291466911E-2</v>
      </c>
      <c r="BV32" s="115">
        <v>233.18</v>
      </c>
      <c r="BW32" s="19">
        <f t="shared" si="9"/>
        <v>-1.541189883038474E-2</v>
      </c>
      <c r="BY32" t="s">
        <v>210</v>
      </c>
      <c r="BZ32">
        <v>57</v>
      </c>
      <c r="CA32">
        <v>0.44616393130766041</v>
      </c>
      <c r="CB32">
        <v>7.8274373913624629E-3</v>
      </c>
    </row>
    <row r="33" spans="2:85" ht="15.75" thickBot="1" x14ac:dyDescent="0.3">
      <c r="B33" s="74">
        <v>45047</v>
      </c>
      <c r="C33" s="75">
        <v>1209.05</v>
      </c>
      <c r="D33" s="19">
        <f t="shared" si="0"/>
        <v>5.2326947681756053E-2</v>
      </c>
      <c r="F33" s="115">
        <v>235.26</v>
      </c>
      <c r="G33" s="19">
        <f t="shared" si="1"/>
        <v>8.9201475255167306E-3</v>
      </c>
      <c r="I33" s="154" t="s">
        <v>13</v>
      </c>
      <c r="J33" s="154">
        <v>58</v>
      </c>
      <c r="K33" s="154">
        <v>0.25616338832743374</v>
      </c>
      <c r="L33" s="154"/>
      <c r="M33" s="154"/>
      <c r="N33" s="154"/>
      <c r="S33" s="11">
        <v>45047</v>
      </c>
      <c r="T33" s="73">
        <v>3025.25</v>
      </c>
      <c r="U33" s="19">
        <f t="shared" si="2"/>
        <v>2.1819532872848768E-2</v>
      </c>
      <c r="V33" s="73"/>
      <c r="W33" s="115">
        <v>235.26</v>
      </c>
      <c r="X33" s="19">
        <f t="shared" si="3"/>
        <v>8.9201475255167306E-3</v>
      </c>
      <c r="Z33" s="154" t="s">
        <v>13</v>
      </c>
      <c r="AA33" s="154">
        <v>58</v>
      </c>
      <c r="AB33" s="154">
        <v>0.20647855999971806</v>
      </c>
      <c r="AC33" s="154"/>
      <c r="AD33" s="154"/>
      <c r="AE33" s="154"/>
      <c r="AJ33" s="11">
        <v>45047</v>
      </c>
      <c r="AK33" s="73">
        <v>1038.3800000000001</v>
      </c>
      <c r="AL33" s="19">
        <f t="shared" si="4"/>
        <v>7.6119511259884254E-2</v>
      </c>
      <c r="AN33" s="115">
        <v>235.26</v>
      </c>
      <c r="AO33" s="19">
        <f t="shared" si="5"/>
        <v>8.9201475255167306E-3</v>
      </c>
      <c r="AQ33" s="154" t="s">
        <v>13</v>
      </c>
      <c r="AR33" s="154">
        <v>58</v>
      </c>
      <c r="AS33" s="154">
        <v>0.30270315622775712</v>
      </c>
      <c r="AT33" s="154"/>
      <c r="AU33" s="154"/>
      <c r="AV33" s="154"/>
      <c r="BA33" s="11">
        <v>45047</v>
      </c>
      <c r="BB33">
        <v>188.79</v>
      </c>
      <c r="BC33" s="19">
        <f t="shared" si="6"/>
        <v>4.8425612261898232E-2</v>
      </c>
      <c r="BE33" s="115">
        <v>235.26</v>
      </c>
      <c r="BF33" s="19">
        <f t="shared" si="7"/>
        <v>8.9201475255167306E-3</v>
      </c>
      <c r="BH33" s="154" t="s">
        <v>13</v>
      </c>
      <c r="BI33" s="154">
        <v>58</v>
      </c>
      <c r="BJ33" s="154">
        <v>0.30383882870512124</v>
      </c>
      <c r="BK33" s="154"/>
      <c r="BL33" s="154"/>
      <c r="BM33" s="154"/>
      <c r="BR33" s="11">
        <v>45047</v>
      </c>
      <c r="BS33" s="73">
        <v>4817.38</v>
      </c>
      <c r="BT33" s="19">
        <f t="shared" si="8"/>
        <v>0.13099967131520884</v>
      </c>
      <c r="BV33" s="115">
        <v>235.26</v>
      </c>
      <c r="BW33" s="19">
        <f t="shared" si="9"/>
        <v>8.9201475255167306E-3</v>
      </c>
      <c r="BY33" s="154" t="s">
        <v>13</v>
      </c>
      <c r="BZ33" s="154">
        <v>58</v>
      </c>
      <c r="CA33" s="154">
        <v>0.45815943099171802</v>
      </c>
      <c r="CB33" s="154"/>
      <c r="CC33" s="154"/>
      <c r="CD33" s="154"/>
    </row>
    <row r="34" spans="2:85" ht="15.75" thickBot="1" x14ac:dyDescent="0.3">
      <c r="B34" s="74">
        <v>45078</v>
      </c>
      <c r="C34" s="75">
        <v>1241.29</v>
      </c>
      <c r="D34" s="19">
        <f t="shared" si="0"/>
        <v>2.6665563872461773E-2</v>
      </c>
      <c r="F34" s="115">
        <v>216.48</v>
      </c>
      <c r="G34" s="19">
        <f t="shared" si="1"/>
        <v>-7.982657485335376E-2</v>
      </c>
      <c r="S34" s="11">
        <v>45078</v>
      </c>
      <c r="T34" s="73">
        <v>3059.57</v>
      </c>
      <c r="U34" s="19">
        <f t="shared" si="2"/>
        <v>1.1344516982067621E-2</v>
      </c>
      <c r="V34" s="73"/>
      <c r="W34" s="115">
        <v>216.48</v>
      </c>
      <c r="X34" s="19">
        <f t="shared" si="3"/>
        <v>-7.982657485335376E-2</v>
      </c>
      <c r="AJ34" s="11">
        <v>45078</v>
      </c>
      <c r="AK34" s="73">
        <v>1077.24</v>
      </c>
      <c r="AL34" s="19">
        <f t="shared" si="4"/>
        <v>3.7423679192588377E-2</v>
      </c>
      <c r="AN34" s="115">
        <v>216.48</v>
      </c>
      <c r="AO34" s="19">
        <f t="shared" si="5"/>
        <v>-7.982657485335376E-2</v>
      </c>
      <c r="BA34" s="11">
        <v>45078</v>
      </c>
      <c r="BB34">
        <v>182.01</v>
      </c>
      <c r="BC34" s="19">
        <f t="shared" si="6"/>
        <v>-3.5912919116478648E-2</v>
      </c>
      <c r="BE34" s="115">
        <v>216.48</v>
      </c>
      <c r="BF34" s="19">
        <f t="shared" si="7"/>
        <v>-7.982657485335376E-2</v>
      </c>
      <c r="BR34" s="11">
        <v>45078</v>
      </c>
      <c r="BS34" s="73">
        <v>5008.9799999999996</v>
      </c>
      <c r="BT34" s="19">
        <f t="shared" si="8"/>
        <v>3.9772656506233517E-2</v>
      </c>
      <c r="BV34" s="115">
        <v>216.48</v>
      </c>
      <c r="BW34" s="19">
        <f t="shared" si="9"/>
        <v>-7.982657485335376E-2</v>
      </c>
    </row>
    <row r="35" spans="2:85" x14ac:dyDescent="0.25">
      <c r="B35" s="74">
        <v>45108</v>
      </c>
      <c r="C35" s="75">
        <v>1260.06</v>
      </c>
      <c r="D35" s="19">
        <f t="shared" si="0"/>
        <v>1.5121365676030507E-2</v>
      </c>
      <c r="F35" s="115">
        <v>205.29</v>
      </c>
      <c r="G35" s="19">
        <f t="shared" si="1"/>
        <v>-5.1690687361419019E-2</v>
      </c>
      <c r="I35" s="155"/>
      <c r="J35" s="155" t="s">
        <v>217</v>
      </c>
      <c r="K35" s="155" t="s">
        <v>206</v>
      </c>
      <c r="L35" s="155" t="s">
        <v>218</v>
      </c>
      <c r="M35" s="155" t="s">
        <v>219</v>
      </c>
      <c r="N35" s="155" t="s">
        <v>220</v>
      </c>
      <c r="O35" s="155" t="s">
        <v>221</v>
      </c>
      <c r="P35" s="155" t="s">
        <v>222</v>
      </c>
      <c r="Q35" s="155" t="s">
        <v>223</v>
      </c>
      <c r="S35" s="11">
        <v>45108</v>
      </c>
      <c r="T35" s="73">
        <v>3178.25</v>
      </c>
      <c r="U35" s="19">
        <f t="shared" si="2"/>
        <v>3.8789764574760355E-2</v>
      </c>
      <c r="V35" s="73"/>
      <c r="W35" s="115">
        <v>205.29</v>
      </c>
      <c r="X35" s="19">
        <f t="shared" si="3"/>
        <v>-5.1690687361419019E-2</v>
      </c>
      <c r="Z35" s="155"/>
      <c r="AA35" s="155" t="s">
        <v>217</v>
      </c>
      <c r="AB35" s="155" t="s">
        <v>206</v>
      </c>
      <c r="AC35" s="155" t="s">
        <v>218</v>
      </c>
      <c r="AD35" s="155" t="s">
        <v>219</v>
      </c>
      <c r="AE35" s="155" t="s">
        <v>220</v>
      </c>
      <c r="AF35" s="155" t="s">
        <v>221</v>
      </c>
      <c r="AG35" s="155" t="s">
        <v>222</v>
      </c>
      <c r="AH35" s="155" t="s">
        <v>223</v>
      </c>
      <c r="AJ35" s="11">
        <v>45108</v>
      </c>
      <c r="AK35" s="73">
        <v>1021.36</v>
      </c>
      <c r="AL35" s="19">
        <f t="shared" si="4"/>
        <v>-5.1873305855705265E-2</v>
      </c>
      <c r="AN35" s="115">
        <v>205.29</v>
      </c>
      <c r="AO35" s="19">
        <f t="shared" si="5"/>
        <v>-5.1690687361419019E-2</v>
      </c>
      <c r="AQ35" s="155"/>
      <c r="AR35" s="155" t="s">
        <v>217</v>
      </c>
      <c r="AS35" s="155" t="s">
        <v>206</v>
      </c>
      <c r="AT35" s="155" t="s">
        <v>218</v>
      </c>
      <c r="AU35" s="155" t="s">
        <v>219</v>
      </c>
      <c r="AV35" s="155" t="s">
        <v>220</v>
      </c>
      <c r="AW35" s="155" t="s">
        <v>221</v>
      </c>
      <c r="AX35" s="155" t="s">
        <v>222</v>
      </c>
      <c r="AY35" s="155" t="s">
        <v>223</v>
      </c>
      <c r="BA35" s="11">
        <v>45108</v>
      </c>
      <c r="BB35">
        <v>189.44</v>
      </c>
      <c r="BC35" s="19">
        <f t="shared" si="6"/>
        <v>4.0821932860831911E-2</v>
      </c>
      <c r="BE35" s="115">
        <v>205.29</v>
      </c>
      <c r="BF35" s="19">
        <f t="shared" si="7"/>
        <v>-5.1690687361419019E-2</v>
      </c>
      <c r="BH35" s="155"/>
      <c r="BI35" s="155" t="s">
        <v>217</v>
      </c>
      <c r="BJ35" s="155" t="s">
        <v>206</v>
      </c>
      <c r="BK35" s="155" t="s">
        <v>218</v>
      </c>
      <c r="BL35" s="155" t="s">
        <v>219</v>
      </c>
      <c r="BM35" s="155" t="s">
        <v>220</v>
      </c>
      <c r="BN35" s="155" t="s">
        <v>221</v>
      </c>
      <c r="BO35" s="155" t="s">
        <v>222</v>
      </c>
      <c r="BP35" s="155" t="s">
        <v>223</v>
      </c>
      <c r="BR35" s="11">
        <v>45108</v>
      </c>
      <c r="BS35" s="73">
        <v>4751.66</v>
      </c>
      <c r="BT35" s="19">
        <f t="shared" si="8"/>
        <v>-5.1371736361494724E-2</v>
      </c>
      <c r="BV35" s="115">
        <v>205.29</v>
      </c>
      <c r="BW35" s="19">
        <f t="shared" si="9"/>
        <v>-5.1690687361419019E-2</v>
      </c>
      <c r="BY35" s="155"/>
      <c r="BZ35" s="155" t="s">
        <v>217</v>
      </c>
      <c r="CA35" s="155" t="s">
        <v>206</v>
      </c>
      <c r="CB35" s="155" t="s">
        <v>218</v>
      </c>
      <c r="CC35" s="155" t="s">
        <v>219</v>
      </c>
      <c r="CD35" s="155" t="s">
        <v>220</v>
      </c>
      <c r="CE35" s="155" t="s">
        <v>221</v>
      </c>
      <c r="CF35" s="155" t="s">
        <v>222</v>
      </c>
      <c r="CG35" s="155" t="s">
        <v>223</v>
      </c>
    </row>
    <row r="36" spans="2:85" x14ac:dyDescent="0.25">
      <c r="B36" s="74">
        <v>45139</v>
      </c>
      <c r="C36" s="75">
        <v>1334.19</v>
      </c>
      <c r="D36" s="19">
        <f t="shared" si="0"/>
        <v>5.8830531879434433E-2</v>
      </c>
      <c r="F36" s="115">
        <v>210.94</v>
      </c>
      <c r="G36" s="19">
        <f t="shared" si="1"/>
        <v>2.7522041989380908E-2</v>
      </c>
      <c r="I36" t="s">
        <v>211</v>
      </c>
      <c r="J36">
        <v>2.1073740466204917E-3</v>
      </c>
      <c r="K36">
        <v>8.7069437703252428E-3</v>
      </c>
      <c r="L36">
        <v>0.24203372643829213</v>
      </c>
      <c r="M36">
        <v>0.80962272801739543</v>
      </c>
      <c r="N36">
        <v>-1.5327980109444816E-2</v>
      </c>
      <c r="O36">
        <v>1.9542728202685797E-2</v>
      </c>
      <c r="P36">
        <v>-1.5327980109444816E-2</v>
      </c>
      <c r="Q36">
        <v>1.9542728202685797E-2</v>
      </c>
      <c r="S36" s="11">
        <v>45139</v>
      </c>
      <c r="T36" s="73">
        <v>3118.2</v>
      </c>
      <c r="U36" s="19">
        <f t="shared" si="2"/>
        <v>-1.8894045465271847E-2</v>
      </c>
      <c r="V36" s="73"/>
      <c r="W36" s="115">
        <v>210.94</v>
      </c>
      <c r="X36" s="19">
        <f t="shared" si="3"/>
        <v>2.7522041989380908E-2</v>
      </c>
      <c r="Z36" t="s">
        <v>211</v>
      </c>
      <c r="AA36">
        <v>-2.9308754609672621E-3</v>
      </c>
      <c r="AB36">
        <v>7.4265312000686813E-3</v>
      </c>
      <c r="AC36">
        <v>-0.39464931635110573</v>
      </c>
      <c r="AD36">
        <v>0.69457456163848952</v>
      </c>
      <c r="AE36">
        <v>-1.7802247671451783E-2</v>
      </c>
      <c r="AF36">
        <v>1.1940496749517259E-2</v>
      </c>
      <c r="AG36">
        <v>-1.7802247671451783E-2</v>
      </c>
      <c r="AH36">
        <v>1.1940496749517259E-2</v>
      </c>
      <c r="AJ36" s="11">
        <v>45139</v>
      </c>
      <c r="AK36" s="73">
        <v>1072.08</v>
      </c>
      <c r="AL36" s="19">
        <f t="shared" si="4"/>
        <v>4.9659277825644166E-2</v>
      </c>
      <c r="AN36" s="115">
        <v>210.94</v>
      </c>
      <c r="AO36" s="19">
        <f t="shared" si="5"/>
        <v>2.7522041989380908E-2</v>
      </c>
      <c r="AQ36" t="s">
        <v>211</v>
      </c>
      <c r="AR36">
        <v>7.2012004000606865E-3</v>
      </c>
      <c r="AS36">
        <v>9.330669622295111E-3</v>
      </c>
      <c r="AT36">
        <v>0.77177744916118585</v>
      </c>
      <c r="AU36">
        <v>0.44343425631894251</v>
      </c>
      <c r="AV36">
        <v>-1.1483143230641136E-2</v>
      </c>
      <c r="AW36">
        <v>2.5885544030762511E-2</v>
      </c>
      <c r="AX36">
        <v>-1.1483143230641136E-2</v>
      </c>
      <c r="AY36">
        <v>2.5885544030762511E-2</v>
      </c>
      <c r="BA36" s="11">
        <v>45139</v>
      </c>
      <c r="BB36">
        <v>191.01</v>
      </c>
      <c r="BC36" s="19">
        <f t="shared" si="6"/>
        <v>8.2875844594594295E-3</v>
      </c>
      <c r="BE36" s="115">
        <v>210.94</v>
      </c>
      <c r="BF36" s="19">
        <f t="shared" si="7"/>
        <v>2.7522041989380908E-2</v>
      </c>
      <c r="BH36" t="s">
        <v>211</v>
      </c>
      <c r="BI36">
        <v>2.2172970808959128E-3</v>
      </c>
      <c r="BJ36">
        <v>9.7485672339291951E-3</v>
      </c>
      <c r="BK36">
        <v>0.22744850886177079</v>
      </c>
      <c r="BL36">
        <v>0.82088886414230688</v>
      </c>
      <c r="BM36">
        <v>-1.7303872082623371E-2</v>
      </c>
      <c r="BN36">
        <v>2.1738466244415194E-2</v>
      </c>
      <c r="BO36">
        <v>-1.7303872082623371E-2</v>
      </c>
      <c r="BP36">
        <v>2.1738466244415194E-2</v>
      </c>
      <c r="BR36" s="11">
        <v>45139</v>
      </c>
      <c r="BS36" s="73">
        <v>5044.78</v>
      </c>
      <c r="BT36" s="19">
        <f t="shared" si="8"/>
        <v>6.1687915381150926E-2</v>
      </c>
      <c r="BV36" s="115">
        <v>210.94</v>
      </c>
      <c r="BW36" s="19">
        <f t="shared" si="9"/>
        <v>2.7522041989380908E-2</v>
      </c>
      <c r="BY36" t="s">
        <v>211</v>
      </c>
      <c r="BZ36">
        <v>6.493893254771765E-3</v>
      </c>
      <c r="CA36">
        <v>1.1993464718654475E-2</v>
      </c>
      <c r="CB36">
        <v>0.54145265001457421</v>
      </c>
      <c r="CC36">
        <v>0.59030579351154522</v>
      </c>
      <c r="CD36">
        <v>-1.7522605581559152E-2</v>
      </c>
      <c r="CE36">
        <v>3.0510392091102678E-2</v>
      </c>
      <c r="CF36">
        <v>-1.7522605581559152E-2</v>
      </c>
      <c r="CG36">
        <v>3.0510392091102678E-2</v>
      </c>
    </row>
    <row r="37" spans="2:85" ht="15.75" thickBot="1" x14ac:dyDescent="0.3">
      <c r="B37" s="74">
        <v>45170</v>
      </c>
      <c r="C37" s="75">
        <v>1334.19</v>
      </c>
      <c r="D37" s="19">
        <f t="shared" si="0"/>
        <v>0</v>
      </c>
      <c r="F37" s="115">
        <v>207.56</v>
      </c>
      <c r="G37" s="19">
        <f t="shared" si="1"/>
        <v>-1.6023513795392019E-2</v>
      </c>
      <c r="I37" s="154" t="s">
        <v>224</v>
      </c>
      <c r="J37" s="154">
        <v>-0.55864318911493416</v>
      </c>
      <c r="K37" s="154">
        <v>0.24749733258185783</v>
      </c>
      <c r="L37" s="154">
        <v>-2.2571685249584146</v>
      </c>
      <c r="M37" s="154">
        <v>2.7846849782620208E-2</v>
      </c>
      <c r="N37" s="154">
        <v>-1.0542480488767632</v>
      </c>
      <c r="O37" s="154">
        <v>-6.3038329353105216E-2</v>
      </c>
      <c r="P37" s="154">
        <v>-1.0542480488767632</v>
      </c>
      <c r="Q37" s="154">
        <v>-6.3038329353105216E-2</v>
      </c>
      <c r="S37" s="11">
        <v>45170</v>
      </c>
      <c r="T37" s="73">
        <v>3277.78</v>
      </c>
      <c r="U37" s="19">
        <f t="shared" si="2"/>
        <v>5.1176961067282534E-2</v>
      </c>
      <c r="V37" s="73"/>
      <c r="W37" s="115">
        <v>207.56</v>
      </c>
      <c r="X37" s="19">
        <f t="shared" si="3"/>
        <v>-1.6023513795392019E-2</v>
      </c>
      <c r="Z37" s="154" t="s">
        <v>224</v>
      </c>
      <c r="AA37" s="154">
        <v>-0.72507980098694613</v>
      </c>
      <c r="AB37" s="154">
        <v>0.2111012441147628</v>
      </c>
      <c r="AC37" s="154">
        <v>-3.4347490656794268</v>
      </c>
      <c r="AD37" s="154">
        <v>1.1124049300237995E-3</v>
      </c>
      <c r="AE37" s="154">
        <v>-1.1478027507401176</v>
      </c>
      <c r="AF37" s="154">
        <v>-0.30235685123377476</v>
      </c>
      <c r="AG37" s="154">
        <v>-1.1478027507401176</v>
      </c>
      <c r="AH37" s="154">
        <v>-0.30235685123377476</v>
      </c>
      <c r="AJ37" s="11">
        <v>45170</v>
      </c>
      <c r="AK37" s="73">
        <v>1129.3800000000001</v>
      </c>
      <c r="AL37" s="19">
        <f t="shared" si="4"/>
        <v>5.3447503917618322E-2</v>
      </c>
      <c r="AN37" s="115">
        <v>207.56</v>
      </c>
      <c r="AO37" s="19">
        <f t="shared" si="5"/>
        <v>-1.6023513795392019E-2</v>
      </c>
      <c r="AQ37" s="154" t="s">
        <v>224</v>
      </c>
      <c r="AR37" s="154">
        <v>-0.69639833259713557</v>
      </c>
      <c r="AS37" s="154">
        <v>0.2652269158543501</v>
      </c>
      <c r="AT37" s="154">
        <v>-2.6256699111924378</v>
      </c>
      <c r="AU37" s="154">
        <v>1.1084227421717864E-2</v>
      </c>
      <c r="AV37" s="154">
        <v>-1.227506070469754</v>
      </c>
      <c r="AW37" s="154">
        <v>-0.16529059472451724</v>
      </c>
      <c r="AX37" s="154">
        <v>-1.227506070469754</v>
      </c>
      <c r="AY37" s="154">
        <v>-0.16529059472451724</v>
      </c>
      <c r="BA37" s="11">
        <v>45170</v>
      </c>
      <c r="BB37">
        <v>189.91</v>
      </c>
      <c r="BC37" s="19">
        <f t="shared" si="6"/>
        <v>-5.7588607926286617E-3</v>
      </c>
      <c r="BE37" s="115">
        <v>207.56</v>
      </c>
      <c r="BF37" s="19">
        <f t="shared" si="7"/>
        <v>-1.6023513795392019E-2</v>
      </c>
      <c r="BH37" s="154" t="s">
        <v>224</v>
      </c>
      <c r="BI37" s="154">
        <v>-0.36690987607974829</v>
      </c>
      <c r="BJ37" s="154">
        <v>0.27710577333867975</v>
      </c>
      <c r="BK37" s="154">
        <v>-1.3240787864470425</v>
      </c>
      <c r="BL37" s="154">
        <v>0.19076218755594843</v>
      </c>
      <c r="BM37" s="154">
        <v>-0.92180461576057726</v>
      </c>
      <c r="BN37" s="154">
        <v>0.18798486360108063</v>
      </c>
      <c r="BO37" s="154">
        <v>-0.92180461576057726</v>
      </c>
      <c r="BP37" s="154">
        <v>0.18798486360108063</v>
      </c>
      <c r="BR37" s="11">
        <v>45170</v>
      </c>
      <c r="BS37" s="73">
        <v>5060.76</v>
      </c>
      <c r="BT37" s="19">
        <f t="shared" si="8"/>
        <v>3.1676306994556924E-3</v>
      </c>
      <c r="BV37" s="115">
        <v>207.56</v>
      </c>
      <c r="BW37" s="19">
        <f t="shared" si="9"/>
        <v>-1.6023513795392019E-2</v>
      </c>
      <c r="BY37" s="154" t="s">
        <v>224</v>
      </c>
      <c r="BZ37" s="154">
        <v>-0.42203533639380342</v>
      </c>
      <c r="CA37" s="154">
        <v>0.3409176175454644</v>
      </c>
      <c r="CB37" s="154">
        <v>-1.237939357409481</v>
      </c>
      <c r="CC37" s="154">
        <v>0.22081339969709465</v>
      </c>
      <c r="CD37" s="154">
        <v>-1.1047110899923775</v>
      </c>
      <c r="CE37" s="154">
        <v>0.2606404172047706</v>
      </c>
      <c r="CF37" s="154">
        <v>-1.1047110899923775</v>
      </c>
      <c r="CG37" s="154">
        <v>0.2606404172047706</v>
      </c>
    </row>
    <row r="38" spans="2:85" x14ac:dyDescent="0.25">
      <c r="B38" s="74">
        <v>45200</v>
      </c>
      <c r="C38" s="75">
        <v>1288.33</v>
      </c>
      <c r="D38" s="19">
        <f t="shared" si="0"/>
        <v>-3.4372915401854387E-2</v>
      </c>
      <c r="F38" s="115">
        <v>211.24</v>
      </c>
      <c r="G38" s="19">
        <f t="shared" si="1"/>
        <v>1.7729813066101441E-2</v>
      </c>
      <c r="S38" s="11">
        <v>45200</v>
      </c>
      <c r="T38" s="73">
        <v>3137.39</v>
      </c>
      <c r="U38" s="19">
        <f t="shared" si="2"/>
        <v>-4.28308184197842E-2</v>
      </c>
      <c r="V38" s="73"/>
      <c r="W38" s="115">
        <v>211.24</v>
      </c>
      <c r="X38" s="19">
        <f t="shared" si="3"/>
        <v>1.7729813066101441E-2</v>
      </c>
      <c r="AJ38" s="11">
        <v>45200</v>
      </c>
      <c r="AK38" s="73">
        <v>1178.22</v>
      </c>
      <c r="AL38" s="19">
        <f t="shared" si="4"/>
        <v>4.324496626467611E-2</v>
      </c>
      <c r="AN38" s="115">
        <v>211.24</v>
      </c>
      <c r="AO38" s="19">
        <f t="shared" si="5"/>
        <v>1.7729813066101441E-2</v>
      </c>
      <c r="BA38" s="11">
        <v>45200</v>
      </c>
      <c r="BB38">
        <v>178.57</v>
      </c>
      <c r="BC38" s="19">
        <f t="shared" si="6"/>
        <v>-5.971249539255441E-2</v>
      </c>
      <c r="BE38" s="115">
        <v>211.24</v>
      </c>
      <c r="BF38" s="19">
        <f t="shared" si="7"/>
        <v>1.7729813066101441E-2</v>
      </c>
      <c r="BR38" s="11">
        <v>45200</v>
      </c>
      <c r="BS38" s="73">
        <v>4934.67</v>
      </c>
      <c r="BT38" s="19">
        <f t="shared" si="8"/>
        <v>-2.4915230123538801E-2</v>
      </c>
      <c r="BV38" s="115">
        <v>211.24</v>
      </c>
      <c r="BW38" s="19">
        <f t="shared" si="9"/>
        <v>1.7729813066101441E-2</v>
      </c>
    </row>
    <row r="39" spans="2:85" x14ac:dyDescent="0.25">
      <c r="B39" s="74">
        <v>45231</v>
      </c>
      <c r="C39" s="75">
        <v>1370</v>
      </c>
      <c r="D39" s="19">
        <f t="shared" si="0"/>
        <v>6.3392143317317906E-2</v>
      </c>
      <c r="F39" s="115">
        <v>205</v>
      </c>
      <c r="G39" s="19">
        <f t="shared" si="1"/>
        <v>-2.9539859875023722E-2</v>
      </c>
      <c r="S39" s="11">
        <v>45231</v>
      </c>
      <c r="T39" s="73">
        <v>3248.08</v>
      </c>
      <c r="U39" s="19">
        <f t="shared" si="2"/>
        <v>3.5280918215459423E-2</v>
      </c>
      <c r="V39" s="73"/>
      <c r="W39" s="115">
        <v>205</v>
      </c>
      <c r="X39" s="19">
        <f t="shared" si="3"/>
        <v>-2.9539859875023722E-2</v>
      </c>
      <c r="AJ39" s="11">
        <v>45231</v>
      </c>
      <c r="AK39" s="73">
        <v>1238.1400000000001</v>
      </c>
      <c r="AL39" s="19">
        <f t="shared" si="4"/>
        <v>5.0856376568043427E-2</v>
      </c>
      <c r="AN39" s="115">
        <v>205</v>
      </c>
      <c r="AO39" s="19">
        <f t="shared" si="5"/>
        <v>-2.9539859875023722E-2</v>
      </c>
      <c r="BA39" s="11">
        <v>45231</v>
      </c>
      <c r="BB39">
        <v>193.18</v>
      </c>
      <c r="BC39" s="19">
        <f t="shared" si="6"/>
        <v>8.1816654533236388E-2</v>
      </c>
      <c r="BE39" s="115">
        <v>205</v>
      </c>
      <c r="BF39" s="19">
        <f t="shared" si="7"/>
        <v>-2.9539859875023722E-2</v>
      </c>
      <c r="BR39" s="11">
        <v>45231</v>
      </c>
      <c r="BS39" s="73">
        <v>5399.14</v>
      </c>
      <c r="BT39" s="19">
        <f t="shared" si="8"/>
        <v>9.4123821856375356E-2</v>
      </c>
      <c r="BV39" s="115">
        <v>205</v>
      </c>
      <c r="BW39" s="19">
        <f t="shared" si="9"/>
        <v>-2.9539859875023722E-2</v>
      </c>
    </row>
    <row r="40" spans="2:85" x14ac:dyDescent="0.25">
      <c r="B40" s="74">
        <v>45261</v>
      </c>
      <c r="C40" s="75">
        <v>1452.62</v>
      </c>
      <c r="D40" s="19">
        <f t="shared" si="0"/>
        <v>6.0306569343065553E-2</v>
      </c>
      <c r="F40" s="115">
        <v>198.07</v>
      </c>
      <c r="G40" s="19">
        <f t="shared" si="1"/>
        <v>-3.3804878048780518E-2</v>
      </c>
      <c r="S40" s="11">
        <v>45261</v>
      </c>
      <c r="T40" s="73">
        <v>3532.88</v>
      </c>
      <c r="U40" s="19">
        <f t="shared" si="2"/>
        <v>8.7682569394842647E-2</v>
      </c>
      <c r="V40" s="73"/>
      <c r="W40" s="115">
        <v>198.07</v>
      </c>
      <c r="X40" s="19">
        <f t="shared" si="3"/>
        <v>-3.3804878048780518E-2</v>
      </c>
      <c r="AJ40" s="11">
        <v>45261</v>
      </c>
      <c r="AK40" s="73">
        <v>1353.75</v>
      </c>
      <c r="AL40" s="19">
        <f t="shared" si="4"/>
        <v>9.3373931865540216E-2</v>
      </c>
      <c r="AN40" s="115">
        <v>198.07</v>
      </c>
      <c r="AO40" s="19">
        <f t="shared" si="5"/>
        <v>-3.3804878048780518E-2</v>
      </c>
      <c r="BA40" s="11">
        <v>45261</v>
      </c>
      <c r="BB40">
        <v>220.43</v>
      </c>
      <c r="BC40" s="19">
        <f t="shared" si="6"/>
        <v>0.14106015115436388</v>
      </c>
      <c r="BE40" s="115">
        <v>198.07</v>
      </c>
      <c r="BF40" s="19">
        <f t="shared" si="7"/>
        <v>-3.3804878048780518E-2</v>
      </c>
      <c r="BR40" s="11">
        <v>45261</v>
      </c>
      <c r="BS40" s="73">
        <v>6138.55</v>
      </c>
      <c r="BT40" s="19">
        <f t="shared" si="8"/>
        <v>0.13694958826776116</v>
      </c>
      <c r="BV40" s="115">
        <v>198.07</v>
      </c>
      <c r="BW40" s="19">
        <f t="shared" si="9"/>
        <v>-3.3804878048780518E-2</v>
      </c>
    </row>
    <row r="41" spans="2:85" x14ac:dyDescent="0.25">
      <c r="B41" s="74">
        <v>45292</v>
      </c>
      <c r="C41" s="75">
        <v>1563.71</v>
      </c>
      <c r="D41" s="19">
        <f t="shared" si="0"/>
        <v>7.6475609588192439E-2</v>
      </c>
      <c r="F41" s="115">
        <v>191.86</v>
      </c>
      <c r="G41" s="19">
        <f t="shared" si="1"/>
        <v>-3.1352552128035449E-2</v>
      </c>
      <c r="S41" s="11">
        <v>45292</v>
      </c>
      <c r="T41" s="73">
        <v>3578.64</v>
      </c>
      <c r="U41" s="19">
        <f t="shared" si="2"/>
        <v>1.2952605239917592E-2</v>
      </c>
      <c r="V41" s="73"/>
      <c r="W41" s="115">
        <v>191.86</v>
      </c>
      <c r="X41" s="19">
        <f t="shared" si="3"/>
        <v>-3.1352552128035449E-2</v>
      </c>
      <c r="AJ41" s="11">
        <v>45292</v>
      </c>
      <c r="AK41" s="73">
        <v>1466.46</v>
      </c>
      <c r="AL41" s="19">
        <f t="shared" si="4"/>
        <v>8.3257617728531796E-2</v>
      </c>
      <c r="AN41" s="115">
        <v>191.86</v>
      </c>
      <c r="AO41" s="19">
        <f t="shared" si="5"/>
        <v>-3.1352552128035449E-2</v>
      </c>
      <c r="BA41" s="11">
        <v>45292</v>
      </c>
      <c r="BB41">
        <v>224.11</v>
      </c>
      <c r="BC41" s="19">
        <f t="shared" si="6"/>
        <v>1.6694642290069339E-2</v>
      </c>
      <c r="BE41" s="115">
        <v>191.86</v>
      </c>
      <c r="BF41" s="19">
        <f t="shared" si="7"/>
        <v>-3.1352552128035449E-2</v>
      </c>
      <c r="BR41" s="11">
        <v>45292</v>
      </c>
      <c r="BS41" s="73">
        <v>5313.18</v>
      </c>
      <c r="BT41" s="19">
        <f t="shared" si="8"/>
        <v>-0.13445683426867905</v>
      </c>
      <c r="BV41" s="115">
        <v>191.86</v>
      </c>
      <c r="BW41" s="19">
        <f t="shared" si="9"/>
        <v>-3.1352552128035449E-2</v>
      </c>
    </row>
    <row r="42" spans="2:85" x14ac:dyDescent="0.25">
      <c r="B42" s="74">
        <v>45323</v>
      </c>
      <c r="C42" s="75">
        <v>1575.95</v>
      </c>
      <c r="D42" s="19">
        <f t="shared" si="0"/>
        <v>7.8275383542985022E-3</v>
      </c>
      <c r="F42" s="115">
        <v>184.47</v>
      </c>
      <c r="G42" s="19">
        <f t="shared" si="1"/>
        <v>-3.8517669133743437E-2</v>
      </c>
      <c r="S42" s="11">
        <v>45323</v>
      </c>
      <c r="T42" s="73">
        <v>3840.43</v>
      </c>
      <c r="U42" s="19">
        <f t="shared" si="2"/>
        <v>7.3153488476069173E-2</v>
      </c>
      <c r="V42" s="73"/>
      <c r="W42" s="115">
        <v>184.47</v>
      </c>
      <c r="X42" s="19">
        <f t="shared" si="3"/>
        <v>-3.8517669133743437E-2</v>
      </c>
      <c r="AJ42" s="11">
        <v>45323</v>
      </c>
      <c r="AK42" s="73">
        <v>1548.2</v>
      </c>
      <c r="AL42" s="19">
        <f t="shared" si="4"/>
        <v>5.5739672408384733E-2</v>
      </c>
      <c r="AN42" s="115">
        <v>184.47</v>
      </c>
      <c r="AO42" s="19">
        <f t="shared" si="5"/>
        <v>-3.8517669133743437E-2</v>
      </c>
      <c r="BA42" s="11">
        <v>45323</v>
      </c>
      <c r="BB42">
        <v>243.07</v>
      </c>
      <c r="BC42" s="19">
        <f t="shared" si="6"/>
        <v>8.46013118557849E-2</v>
      </c>
      <c r="BE42" s="115">
        <v>184.47</v>
      </c>
      <c r="BF42" s="19">
        <f t="shared" si="7"/>
        <v>-3.8517669133743437E-2</v>
      </c>
      <c r="BR42" s="11">
        <v>45323</v>
      </c>
      <c r="BS42" s="73">
        <v>5169.1499999999996</v>
      </c>
      <c r="BT42" s="19">
        <f t="shared" si="8"/>
        <v>-2.7108059580138621E-2</v>
      </c>
      <c r="BV42" s="115">
        <v>184.47</v>
      </c>
      <c r="BW42" s="19">
        <f t="shared" si="9"/>
        <v>-3.8517669133743437E-2</v>
      </c>
    </row>
    <row r="43" spans="2:85" x14ac:dyDescent="0.25">
      <c r="B43" s="74">
        <v>45352</v>
      </c>
      <c r="C43" s="75">
        <v>1410.39</v>
      </c>
      <c r="D43" s="19">
        <f t="shared" si="0"/>
        <v>-0.10505409435578539</v>
      </c>
      <c r="F43" s="115">
        <v>184.67</v>
      </c>
      <c r="G43" s="19">
        <f t="shared" si="1"/>
        <v>1.0841871306987994E-3</v>
      </c>
      <c r="S43" s="11">
        <v>45352</v>
      </c>
      <c r="T43" s="73">
        <v>3635.24</v>
      </c>
      <c r="U43" s="19">
        <f t="shared" si="2"/>
        <v>-5.3428912908189963E-2</v>
      </c>
      <c r="V43" s="73"/>
      <c r="W43" s="115">
        <v>184.67</v>
      </c>
      <c r="X43" s="19">
        <f t="shared" si="3"/>
        <v>1.0841871306987994E-3</v>
      </c>
      <c r="AJ43" s="11">
        <v>45352</v>
      </c>
      <c r="AK43" s="73">
        <v>1436.26</v>
      </c>
      <c r="AL43" s="19">
        <f t="shared" si="4"/>
        <v>-7.2303319984498127E-2</v>
      </c>
      <c r="AN43" s="115">
        <v>184.67</v>
      </c>
      <c r="AO43" s="19">
        <f t="shared" si="5"/>
        <v>1.0841871306987994E-3</v>
      </c>
      <c r="BA43" s="11">
        <v>45352</v>
      </c>
      <c r="BB43">
        <v>225.02</v>
      </c>
      <c r="BC43" s="19">
        <f t="shared" si="6"/>
        <v>-7.4258444069609464E-2</v>
      </c>
      <c r="BE43" s="115">
        <v>184.67</v>
      </c>
      <c r="BF43" s="19">
        <f t="shared" si="7"/>
        <v>1.0841871306987994E-3</v>
      </c>
      <c r="BR43" s="11">
        <v>45352</v>
      </c>
      <c r="BS43" s="73">
        <v>4815.7</v>
      </c>
      <c r="BT43" s="19">
        <f t="shared" si="8"/>
        <v>-6.837681243531335E-2</v>
      </c>
      <c r="BV43" s="115">
        <v>184.67</v>
      </c>
      <c r="BW43" s="19">
        <f t="shared" si="9"/>
        <v>1.0841871306987994E-3</v>
      </c>
    </row>
    <row r="44" spans="2:85" x14ac:dyDescent="0.25">
      <c r="B44" s="74">
        <v>45383</v>
      </c>
      <c r="C44" s="75">
        <v>1337.43</v>
      </c>
      <c r="D44" s="19">
        <f t="shared" si="0"/>
        <v>-5.1730372450173423E-2</v>
      </c>
      <c r="F44" s="115">
        <v>188.91</v>
      </c>
      <c r="G44" s="19">
        <f t="shared" si="1"/>
        <v>2.2959874370498845E-2</v>
      </c>
      <c r="S44" s="11">
        <v>45383</v>
      </c>
      <c r="T44" s="73">
        <v>3583.05</v>
      </c>
      <c r="U44" s="19">
        <f t="shared" si="2"/>
        <v>-1.4356686216040693E-2</v>
      </c>
      <c r="V44" s="73"/>
      <c r="W44" s="115">
        <v>188.91</v>
      </c>
      <c r="X44" s="19">
        <f t="shared" si="3"/>
        <v>2.2959874370498845E-2</v>
      </c>
      <c r="AJ44" s="11">
        <v>45383</v>
      </c>
      <c r="AK44" s="73">
        <v>1271.6099999999999</v>
      </c>
      <c r="AL44" s="19">
        <f t="shared" si="4"/>
        <v>-0.1146380181861224</v>
      </c>
      <c r="AN44" s="115">
        <v>188.91</v>
      </c>
      <c r="AO44" s="19">
        <f t="shared" si="5"/>
        <v>2.2959874370498845E-2</v>
      </c>
      <c r="BA44" s="11">
        <v>45383</v>
      </c>
      <c r="BB44">
        <v>216.73</v>
      </c>
      <c r="BC44" s="19">
        <f t="shared" si="6"/>
        <v>-3.6841169673806906E-2</v>
      </c>
      <c r="BE44" s="115">
        <v>188.91</v>
      </c>
      <c r="BF44" s="19">
        <f t="shared" si="7"/>
        <v>2.2959874370498845E-2</v>
      </c>
      <c r="BR44" s="11">
        <v>45383</v>
      </c>
      <c r="BS44" s="73">
        <v>4589.47</v>
      </c>
      <c r="BT44" s="19">
        <f t="shared" si="8"/>
        <v>-4.6977594119234967E-2</v>
      </c>
      <c r="BV44" s="115">
        <v>188.91</v>
      </c>
      <c r="BW44" s="19">
        <f t="shared" si="9"/>
        <v>2.2959874370498845E-2</v>
      </c>
    </row>
    <row r="45" spans="2:85" x14ac:dyDescent="0.25">
      <c r="B45" s="74">
        <v>45413</v>
      </c>
      <c r="C45" s="75">
        <v>1351.08</v>
      </c>
      <c r="D45" s="19">
        <f t="shared" si="0"/>
        <v>1.0206141629842236E-2</v>
      </c>
      <c r="F45" s="115">
        <v>193.04</v>
      </c>
      <c r="G45" s="19">
        <f t="shared" si="1"/>
        <v>2.1862262453020032E-2</v>
      </c>
      <c r="S45" s="11">
        <v>45413</v>
      </c>
      <c r="T45" s="73">
        <v>3467.68</v>
      </c>
      <c r="U45" s="19">
        <f t="shared" si="2"/>
        <v>-3.2198825023374011E-2</v>
      </c>
      <c r="V45" s="73"/>
      <c r="W45" s="115">
        <v>193.04</v>
      </c>
      <c r="X45" s="19">
        <f t="shared" si="3"/>
        <v>2.1862262453020032E-2</v>
      </c>
      <c r="AJ45" s="11">
        <v>45413</v>
      </c>
      <c r="AK45" s="73">
        <v>1248.5999999999999</v>
      </c>
      <c r="AL45" s="19">
        <f t="shared" si="4"/>
        <v>-1.8095170689126361E-2</v>
      </c>
      <c r="AN45" s="115">
        <v>193.04</v>
      </c>
      <c r="AO45" s="19">
        <f t="shared" si="5"/>
        <v>2.1862262453020032E-2</v>
      </c>
      <c r="BA45" s="11">
        <v>45413</v>
      </c>
      <c r="BB45">
        <v>205.38</v>
      </c>
      <c r="BC45" s="19">
        <f t="shared" si="6"/>
        <v>-5.2369307433211776E-2</v>
      </c>
      <c r="BE45" s="115">
        <v>193.04</v>
      </c>
      <c r="BF45" s="19">
        <f t="shared" si="7"/>
        <v>2.1862262453020032E-2</v>
      </c>
      <c r="BR45" s="11">
        <v>45413</v>
      </c>
      <c r="BS45" s="73">
        <v>4585.08</v>
      </c>
      <c r="BT45" s="19">
        <f t="shared" si="8"/>
        <v>-9.5653746511037419E-4</v>
      </c>
      <c r="BV45" s="115">
        <v>193.04</v>
      </c>
      <c r="BW45" s="19">
        <f t="shared" si="9"/>
        <v>2.1862262453020032E-2</v>
      </c>
    </row>
    <row r="46" spans="2:85" x14ac:dyDescent="0.25">
      <c r="B46" s="74">
        <v>45444</v>
      </c>
      <c r="C46" s="75">
        <v>1504.58</v>
      </c>
      <c r="D46" s="19">
        <f t="shared" si="0"/>
        <v>0.11361281345294127</v>
      </c>
      <c r="F46" s="115">
        <v>199.95</v>
      </c>
      <c r="G46" s="19">
        <f t="shared" si="1"/>
        <v>3.5795690012432546E-2</v>
      </c>
      <c r="S46" s="11">
        <v>45444</v>
      </c>
      <c r="T46" s="73">
        <v>3687.96</v>
      </c>
      <c r="U46" s="19">
        <f t="shared" si="2"/>
        <v>6.3523739214691233E-2</v>
      </c>
      <c r="V46" s="73"/>
      <c r="W46" s="115">
        <v>199.95</v>
      </c>
      <c r="X46" s="19">
        <f t="shared" si="3"/>
        <v>3.5795690012432546E-2</v>
      </c>
      <c r="AJ46" s="11">
        <v>45444</v>
      </c>
      <c r="AK46" s="73">
        <v>1376.38</v>
      </c>
      <c r="AL46" s="19">
        <f t="shared" si="4"/>
        <v>0.10233861925356424</v>
      </c>
      <c r="AN46" s="115">
        <v>199.95</v>
      </c>
      <c r="AO46" s="19">
        <f t="shared" si="5"/>
        <v>3.5795690012432546E-2</v>
      </c>
      <c r="BA46" s="11">
        <v>45444</v>
      </c>
      <c r="BB46">
        <v>241.31</v>
      </c>
      <c r="BC46" s="19">
        <f t="shared" si="6"/>
        <v>0.17494400623234974</v>
      </c>
      <c r="BE46" s="115">
        <v>199.95</v>
      </c>
      <c r="BF46" s="19">
        <f t="shared" si="7"/>
        <v>3.5795690012432546E-2</v>
      </c>
      <c r="BR46" s="11">
        <v>45444</v>
      </c>
      <c r="BS46" s="73">
        <v>5298.1</v>
      </c>
      <c r="BT46" s="19">
        <f t="shared" si="8"/>
        <v>0.15550873703403223</v>
      </c>
      <c r="BV46" s="115">
        <v>199.95</v>
      </c>
      <c r="BW46" s="19">
        <f t="shared" si="9"/>
        <v>3.5795690012432546E-2</v>
      </c>
    </row>
    <row r="47" spans="2:85" x14ac:dyDescent="0.25">
      <c r="B47" s="74">
        <v>45474</v>
      </c>
      <c r="C47" s="75">
        <v>1794.12</v>
      </c>
      <c r="D47" s="19">
        <f t="shared" si="0"/>
        <v>0.19243908599077475</v>
      </c>
      <c r="F47" s="115">
        <v>191.01</v>
      </c>
      <c r="G47" s="19">
        <f t="shared" si="1"/>
        <v>-4.4711177794448553E-2</v>
      </c>
      <c r="S47" s="11">
        <v>45474</v>
      </c>
      <c r="T47" s="68">
        <v>4152.1400000000003</v>
      </c>
      <c r="U47" s="19">
        <f t="shared" si="2"/>
        <v>0.1258636210804891</v>
      </c>
      <c r="V47" s="68"/>
      <c r="W47" s="115">
        <v>191.01</v>
      </c>
      <c r="X47" s="19">
        <f t="shared" si="3"/>
        <v>-4.4711177794448553E-2</v>
      </c>
      <c r="AJ47" s="11">
        <v>45474</v>
      </c>
      <c r="AK47" s="73">
        <v>1560.82</v>
      </c>
      <c r="AL47" s="19">
        <f t="shared" si="4"/>
        <v>0.1340036908411919</v>
      </c>
      <c r="AN47" s="115">
        <v>191.01</v>
      </c>
      <c r="AO47" s="19">
        <f t="shared" si="5"/>
        <v>-4.4711177794448553E-2</v>
      </c>
      <c r="BA47" s="11">
        <v>45474</v>
      </c>
      <c r="BB47">
        <v>244.66</v>
      </c>
      <c r="BC47" s="19">
        <f t="shared" si="6"/>
        <v>1.3882557705855447E-2</v>
      </c>
      <c r="BE47" s="115">
        <v>191.01</v>
      </c>
      <c r="BF47" s="19">
        <f t="shared" si="7"/>
        <v>-4.4711177794448553E-2</v>
      </c>
      <c r="BR47" s="11">
        <v>45474</v>
      </c>
      <c r="BS47" s="73">
        <v>5566.79</v>
      </c>
      <c r="BT47" s="19">
        <f t="shared" si="8"/>
        <v>5.0714407051584365E-2</v>
      </c>
      <c r="BV47" s="115">
        <v>191.01</v>
      </c>
      <c r="BW47" s="19">
        <f t="shared" si="9"/>
        <v>-4.4711177794448553E-2</v>
      </c>
    </row>
    <row r="48" spans="2:85" x14ac:dyDescent="0.25">
      <c r="B48" s="74">
        <v>45505</v>
      </c>
      <c r="C48" s="75">
        <v>1866.58</v>
      </c>
      <c r="D48" s="19">
        <f t="shared" si="0"/>
        <v>4.0387488016409234E-2</v>
      </c>
      <c r="F48" s="115">
        <v>181.89</v>
      </c>
      <c r="G48" s="19">
        <f t="shared" si="1"/>
        <v>-4.774619129888491E-2</v>
      </c>
      <c r="S48" s="11">
        <v>45505</v>
      </c>
      <c r="T48" s="68">
        <v>4311.58</v>
      </c>
      <c r="U48" s="19">
        <f t="shared" si="2"/>
        <v>3.839947593289228E-2</v>
      </c>
      <c r="V48" s="68"/>
      <c r="W48" s="115">
        <v>181.89</v>
      </c>
      <c r="X48" s="19">
        <f t="shared" si="3"/>
        <v>-4.774619129888491E-2</v>
      </c>
      <c r="AJ48" s="11">
        <v>45505</v>
      </c>
      <c r="AK48" s="73">
        <v>1665.96</v>
      </c>
      <c r="AL48" s="19">
        <f t="shared" si="4"/>
        <v>6.7362027652131617E-2</v>
      </c>
      <c r="AN48" s="115">
        <v>181.89</v>
      </c>
      <c r="AO48" s="19">
        <f t="shared" si="5"/>
        <v>-4.774619129888491E-2</v>
      </c>
      <c r="BA48" s="11">
        <v>45505</v>
      </c>
      <c r="BB48">
        <v>252.35</v>
      </c>
      <c r="BC48" s="19">
        <f t="shared" si="6"/>
        <v>3.1431374151884128E-2</v>
      </c>
      <c r="BE48" s="115">
        <v>181.89</v>
      </c>
      <c r="BF48" s="19">
        <f t="shared" si="7"/>
        <v>-4.774619129888491E-2</v>
      </c>
      <c r="BR48" s="11">
        <v>45505</v>
      </c>
      <c r="BS48" s="73">
        <v>6056.65</v>
      </c>
      <c r="BT48" s="19">
        <f t="shared" si="8"/>
        <v>8.7996852764339994E-2</v>
      </c>
      <c r="BV48" s="115">
        <v>181.89</v>
      </c>
      <c r="BW48" s="19">
        <f t="shared" si="9"/>
        <v>-4.774619129888491E-2</v>
      </c>
    </row>
    <row r="49" spans="2:75" x14ac:dyDescent="0.25">
      <c r="B49" s="74">
        <v>45536</v>
      </c>
      <c r="C49" s="75">
        <v>1801.18</v>
      </c>
      <c r="D49" s="19">
        <f t="shared" si="0"/>
        <v>-3.5037341019404367E-2</v>
      </c>
      <c r="F49" s="115">
        <v>188.56</v>
      </c>
      <c r="G49" s="19">
        <f t="shared" si="1"/>
        <v>3.6670515146517202E-2</v>
      </c>
      <c r="S49" s="11">
        <v>45536</v>
      </c>
      <c r="T49" s="68">
        <v>4041.5</v>
      </c>
      <c r="U49" s="19">
        <f t="shared" si="2"/>
        <v>-6.2640609706882344E-2</v>
      </c>
      <c r="V49" s="68"/>
      <c r="W49" s="115">
        <v>188.56</v>
      </c>
      <c r="X49" s="19">
        <f t="shared" si="3"/>
        <v>3.6670515146517202E-2</v>
      </c>
      <c r="AJ49" s="11">
        <v>45536</v>
      </c>
      <c r="AK49" s="73">
        <v>1706.68</v>
      </c>
      <c r="AL49" s="19">
        <f t="shared" si="4"/>
        <v>2.444236356215046E-2</v>
      </c>
      <c r="AN49" s="115">
        <v>188.56</v>
      </c>
      <c r="AO49" s="19">
        <f t="shared" si="5"/>
        <v>3.6670515146517202E-2</v>
      </c>
      <c r="BA49" s="11">
        <v>45536</v>
      </c>
      <c r="BB49">
        <v>253.78</v>
      </c>
      <c r="BC49" s="19">
        <f t="shared" si="6"/>
        <v>5.6667327125023981E-3</v>
      </c>
      <c r="BE49" s="115">
        <v>188.56</v>
      </c>
      <c r="BF49" s="19">
        <f t="shared" si="7"/>
        <v>3.6670515146517202E-2</v>
      </c>
      <c r="BR49" s="11">
        <v>45536</v>
      </c>
      <c r="BS49" s="73">
        <v>6143.52</v>
      </c>
      <c r="BT49" s="19">
        <f t="shared" si="8"/>
        <v>1.4342912336027469E-2</v>
      </c>
      <c r="BV49" s="115">
        <v>188.56</v>
      </c>
      <c r="BW49" s="19">
        <f t="shared" si="9"/>
        <v>3.6670515146517202E-2</v>
      </c>
    </row>
    <row r="50" spans="2:75" x14ac:dyDescent="0.25">
      <c r="B50" s="74">
        <v>45566</v>
      </c>
      <c r="C50" s="75">
        <v>1706.74</v>
      </c>
      <c r="D50" s="19">
        <f t="shared" si="0"/>
        <v>-5.2432294384792244E-2</v>
      </c>
      <c r="F50" s="115">
        <v>181.81</v>
      </c>
      <c r="G50" s="19">
        <f t="shared" si="1"/>
        <v>-3.5797624098430236E-2</v>
      </c>
      <c r="S50" s="11">
        <v>45566</v>
      </c>
      <c r="T50" s="73">
        <v>3766.58</v>
      </c>
      <c r="U50" s="19">
        <f t="shared" si="2"/>
        <v>-6.8024248422615341E-2</v>
      </c>
      <c r="V50" s="73"/>
      <c r="W50" s="115">
        <v>181.81</v>
      </c>
      <c r="X50" s="19">
        <f t="shared" si="3"/>
        <v>-3.5797624098430236E-2</v>
      </c>
      <c r="AJ50" s="11">
        <v>45566</v>
      </c>
      <c r="AK50" s="73">
        <v>1689.12</v>
      </c>
      <c r="AL50" s="19">
        <f t="shared" si="4"/>
        <v>-1.0288982117327317E-2</v>
      </c>
      <c r="AN50" s="115">
        <v>181.81</v>
      </c>
      <c r="AO50" s="19">
        <f t="shared" si="5"/>
        <v>-3.5797624098430236E-2</v>
      </c>
      <c r="BA50" s="11">
        <v>45566</v>
      </c>
      <c r="BB50">
        <v>258.63</v>
      </c>
      <c r="BC50" s="19">
        <f t="shared" si="6"/>
        <v>1.9111041059185041E-2</v>
      </c>
      <c r="BE50" s="115">
        <v>181.81</v>
      </c>
      <c r="BF50" s="19">
        <f t="shared" si="7"/>
        <v>-3.5797624098430236E-2</v>
      </c>
      <c r="BR50" s="11">
        <v>45566</v>
      </c>
      <c r="BS50" s="73">
        <v>5637.52</v>
      </c>
      <c r="BT50" s="19">
        <f t="shared" si="8"/>
        <v>-8.2363205458759747E-2</v>
      </c>
      <c r="BV50" s="115">
        <v>181.81</v>
      </c>
      <c r="BW50" s="19">
        <f t="shared" si="9"/>
        <v>-3.5797624098430236E-2</v>
      </c>
    </row>
    <row r="51" spans="2:75" x14ac:dyDescent="0.25">
      <c r="B51" s="74">
        <v>45597</v>
      </c>
      <c r="C51" s="75">
        <v>1804.45</v>
      </c>
      <c r="D51" s="19">
        <f t="shared" si="0"/>
        <v>5.7249493185839606E-2</v>
      </c>
      <c r="F51" s="115">
        <v>167.26</v>
      </c>
      <c r="G51" s="19">
        <f t="shared" si="1"/>
        <v>-8.0028601287058021E-2</v>
      </c>
      <c r="S51" s="11">
        <v>45597</v>
      </c>
      <c r="T51" s="73">
        <v>4053.6</v>
      </c>
      <c r="U51" s="19">
        <f t="shared" si="2"/>
        <v>7.6201753314677934E-2</v>
      </c>
      <c r="V51" s="73"/>
      <c r="W51" s="115">
        <v>167.26</v>
      </c>
      <c r="X51" s="19">
        <f t="shared" si="3"/>
        <v>-8.0028601287058021E-2</v>
      </c>
      <c r="AJ51" s="11">
        <v>45597</v>
      </c>
      <c r="AK51" s="73">
        <v>1767.55</v>
      </c>
      <c r="AL51" s="19">
        <f t="shared" si="4"/>
        <v>4.6432461873638475E-2</v>
      </c>
      <c r="AN51" s="115">
        <v>167.26</v>
      </c>
      <c r="AO51" s="19">
        <f t="shared" si="5"/>
        <v>-8.0028601287058021E-2</v>
      </c>
      <c r="BA51" s="11">
        <v>45597</v>
      </c>
      <c r="BB51">
        <v>270.83999999999997</v>
      </c>
      <c r="BC51" s="19">
        <f t="shared" si="6"/>
        <v>4.7210300429184393E-2</v>
      </c>
      <c r="BE51" s="115">
        <v>167.26</v>
      </c>
      <c r="BF51" s="19">
        <f t="shared" si="7"/>
        <v>-8.0028601287058021E-2</v>
      </c>
      <c r="BR51" s="11">
        <v>45597</v>
      </c>
      <c r="BS51" s="73">
        <v>6093.15</v>
      </c>
      <c r="BT51" s="19">
        <f t="shared" si="8"/>
        <v>8.0820999304658692E-2</v>
      </c>
      <c r="BV51" s="115">
        <v>167.26</v>
      </c>
      <c r="BW51" s="19">
        <f t="shared" si="9"/>
        <v>-8.0028601287058021E-2</v>
      </c>
    </row>
    <row r="52" spans="2:75" x14ac:dyDescent="0.25">
      <c r="B52" s="74">
        <v>45627</v>
      </c>
      <c r="C52" s="75">
        <v>1825.96</v>
      </c>
      <c r="D52" s="19">
        <f t="shared" si="0"/>
        <v>1.192052980132452E-2</v>
      </c>
      <c r="F52" s="115">
        <v>175.44</v>
      </c>
      <c r="G52" s="19">
        <f t="shared" si="1"/>
        <v>4.8905895013751088E-2</v>
      </c>
      <c r="S52" s="11">
        <v>45627</v>
      </c>
      <c r="T52" s="73">
        <v>3886.5</v>
      </c>
      <c r="U52" s="19">
        <f t="shared" si="2"/>
        <v>-4.1222616933096479E-2</v>
      </c>
      <c r="V52" s="73"/>
      <c r="W52" s="115">
        <v>175.44</v>
      </c>
      <c r="X52" s="19">
        <f t="shared" si="3"/>
        <v>4.8905895013751088E-2</v>
      </c>
      <c r="AJ52" s="11">
        <v>45627</v>
      </c>
      <c r="AK52" s="73">
        <v>1833.88</v>
      </c>
      <c r="AL52" s="19">
        <f t="shared" si="4"/>
        <v>3.7526519758988464E-2</v>
      </c>
      <c r="AN52" s="115">
        <v>175.44</v>
      </c>
      <c r="AO52" s="19">
        <f t="shared" si="5"/>
        <v>4.8905895013751088E-2</v>
      </c>
      <c r="BA52" s="11">
        <v>45627</v>
      </c>
      <c r="BB52">
        <v>282.95</v>
      </c>
      <c r="BC52" s="19">
        <f t="shared" si="6"/>
        <v>4.4712745532417664E-2</v>
      </c>
      <c r="BE52" s="115">
        <v>175.44</v>
      </c>
      <c r="BF52" s="19">
        <f t="shared" si="7"/>
        <v>4.8905895013751088E-2</v>
      </c>
      <c r="BR52" s="11">
        <v>45627</v>
      </c>
      <c r="BS52" s="73">
        <v>5514.18</v>
      </c>
      <c r="BT52" s="19">
        <f t="shared" si="8"/>
        <v>-9.5019817335860624E-2</v>
      </c>
      <c r="BV52" s="115">
        <v>175.44</v>
      </c>
      <c r="BW52" s="19">
        <f t="shared" si="9"/>
        <v>4.8905895013751088E-2</v>
      </c>
    </row>
    <row r="53" spans="2:75" x14ac:dyDescent="0.25">
      <c r="B53" s="74">
        <v>45658</v>
      </c>
      <c r="C53" s="75">
        <v>1825.77</v>
      </c>
      <c r="D53" s="19">
        <f t="shared" si="0"/>
        <v>-1.0405485333742082E-4</v>
      </c>
      <c r="F53" s="115">
        <v>180.86</v>
      </c>
      <c r="G53" s="19">
        <f t="shared" si="1"/>
        <v>3.0893752849977307E-2</v>
      </c>
      <c r="S53" s="11">
        <v>45658</v>
      </c>
      <c r="T53" s="73">
        <v>3975.03</v>
      </c>
      <c r="U53" s="19">
        <f t="shared" si="2"/>
        <v>2.2778849864917072E-2</v>
      </c>
      <c r="V53" s="73"/>
      <c r="W53" s="115">
        <v>180.86</v>
      </c>
      <c r="X53" s="19">
        <f t="shared" si="3"/>
        <v>3.0893752849977307E-2</v>
      </c>
      <c r="AJ53" s="11">
        <v>45658</v>
      </c>
      <c r="AK53" s="73">
        <v>1667.03</v>
      </c>
      <c r="AL53" s="19">
        <f t="shared" si="4"/>
        <v>-9.0981961742316875E-2</v>
      </c>
      <c r="AN53" s="115">
        <v>180.86</v>
      </c>
      <c r="AO53" s="19">
        <f t="shared" si="5"/>
        <v>3.0893752849977307E-2</v>
      </c>
      <c r="BA53" s="11">
        <v>45658</v>
      </c>
      <c r="BB53">
        <v>298.19</v>
      </c>
      <c r="BC53" s="19">
        <f t="shared" si="6"/>
        <v>5.386110620250939E-2</v>
      </c>
      <c r="BE53" s="115">
        <v>180.86</v>
      </c>
      <c r="BF53" s="19">
        <f t="shared" si="7"/>
        <v>3.0893752849977307E-2</v>
      </c>
      <c r="BR53" s="11">
        <v>45658</v>
      </c>
      <c r="BS53" s="73">
        <v>5838.21</v>
      </c>
      <c r="BT53" s="19">
        <f t="shared" si="8"/>
        <v>5.8763043643841772E-2</v>
      </c>
      <c r="BV53" s="115">
        <v>180.86</v>
      </c>
      <c r="BW53" s="19">
        <f t="shared" si="9"/>
        <v>3.0893752849977307E-2</v>
      </c>
    </row>
    <row r="54" spans="2:75" x14ac:dyDescent="0.25">
      <c r="B54" s="74">
        <v>45689</v>
      </c>
      <c r="C54" s="75">
        <v>1639.19</v>
      </c>
      <c r="D54" s="19">
        <f t="shared" si="0"/>
        <v>-0.10219249960290722</v>
      </c>
      <c r="F54" s="115">
        <v>184.1</v>
      </c>
      <c r="G54" s="19">
        <f t="shared" si="1"/>
        <v>1.7914408935087778E-2</v>
      </c>
      <c r="S54" s="11">
        <v>45689</v>
      </c>
      <c r="T54" s="73">
        <v>3366.89</v>
      </c>
      <c r="U54" s="19">
        <f t="shared" si="2"/>
        <v>-0.1529900403267398</v>
      </c>
      <c r="V54" s="73"/>
      <c r="W54" s="115">
        <v>184.1</v>
      </c>
      <c r="X54" s="19">
        <f t="shared" si="3"/>
        <v>1.7914408935087778E-2</v>
      </c>
      <c r="AJ54" s="11">
        <v>45689</v>
      </c>
      <c r="AK54" s="73">
        <v>1521.72</v>
      </c>
      <c r="AL54" s="19">
        <f t="shared" si="4"/>
        <v>-8.7166997594524398E-2</v>
      </c>
      <c r="AN54" s="115">
        <v>184.1</v>
      </c>
      <c r="AO54" s="19">
        <f t="shared" si="5"/>
        <v>1.7914408935087778E-2</v>
      </c>
      <c r="BA54" s="11">
        <v>45689</v>
      </c>
      <c r="BB54">
        <v>265.44</v>
      </c>
      <c r="BC54" s="19">
        <f t="shared" si="6"/>
        <v>-0.10982930346423425</v>
      </c>
      <c r="BE54" s="115">
        <v>184.1</v>
      </c>
      <c r="BF54" s="19">
        <f t="shared" si="7"/>
        <v>1.7914408935087778E-2</v>
      </c>
      <c r="BR54" s="11">
        <v>45689</v>
      </c>
      <c r="BS54" s="73">
        <v>4606.04</v>
      </c>
      <c r="BT54" s="19">
        <f t="shared" si="8"/>
        <v>-0.21105270279760402</v>
      </c>
      <c r="BV54" s="115">
        <v>184.1</v>
      </c>
      <c r="BW54" s="19">
        <f t="shared" si="9"/>
        <v>1.7914408935087778E-2</v>
      </c>
    </row>
    <row r="55" spans="2:75" x14ac:dyDescent="0.25">
      <c r="B55" s="74">
        <v>45717</v>
      </c>
      <c r="C55" s="75">
        <v>1525.5</v>
      </c>
      <c r="D55" s="19">
        <f t="shared" si="0"/>
        <v>-6.9357426533836919E-2</v>
      </c>
      <c r="F55" s="115">
        <v>177.27</v>
      </c>
      <c r="G55" s="19">
        <f t="shared" si="1"/>
        <v>-3.7099402498641965E-2</v>
      </c>
      <c r="S55" s="11">
        <v>45717</v>
      </c>
      <c r="T55" s="73">
        <v>3485.69</v>
      </c>
      <c r="U55" s="19">
        <f t="shared" si="2"/>
        <v>3.5284788038813408E-2</v>
      </c>
      <c r="V55" s="73"/>
      <c r="W55" s="115">
        <v>177.27</v>
      </c>
      <c r="X55" s="19">
        <f t="shared" si="3"/>
        <v>-3.7099402498641965E-2</v>
      </c>
      <c r="AJ55" s="11">
        <v>45717</v>
      </c>
      <c r="AK55" s="73">
        <v>1538.58</v>
      </c>
      <c r="AL55" s="19">
        <f t="shared" si="4"/>
        <v>1.1079567857424477E-2</v>
      </c>
      <c r="AN55" s="115">
        <v>177.27</v>
      </c>
      <c r="AO55" s="19">
        <f t="shared" si="5"/>
        <v>-3.7099402498641965E-2</v>
      </c>
      <c r="BA55" s="11">
        <v>45717</v>
      </c>
      <c r="BB55">
        <v>250.72</v>
      </c>
      <c r="BC55" s="19">
        <f t="shared" si="6"/>
        <v>-5.5455093429776947E-2</v>
      </c>
      <c r="BE55" s="115">
        <v>177.27</v>
      </c>
      <c r="BF55" s="19">
        <f t="shared" si="7"/>
        <v>-3.7099402498641965E-2</v>
      </c>
      <c r="BR55" s="11">
        <v>45717</v>
      </c>
      <c r="BS55" s="73">
        <v>4433.68</v>
      </c>
      <c r="BT55" s="19">
        <f t="shared" si="8"/>
        <v>-3.742043056508404E-2</v>
      </c>
      <c r="BV55" s="115">
        <v>177.27</v>
      </c>
      <c r="BW55" s="19">
        <f t="shared" si="9"/>
        <v>-3.7099402498641965E-2</v>
      </c>
    </row>
    <row r="56" spans="2:75" x14ac:dyDescent="0.25">
      <c r="B56" s="74">
        <v>45748</v>
      </c>
      <c r="C56" s="75">
        <v>1456.98</v>
      </c>
      <c r="D56" s="19">
        <f t="shared" si="0"/>
        <v>-4.4916420845624416E-2</v>
      </c>
      <c r="F56" s="115">
        <v>182.49</v>
      </c>
      <c r="G56" s="19">
        <f t="shared" si="1"/>
        <v>2.944660687087497E-2</v>
      </c>
      <c r="S56" s="11">
        <v>45748</v>
      </c>
      <c r="T56" s="73">
        <v>3338.33</v>
      </c>
      <c r="U56" s="19">
        <f t="shared" si="2"/>
        <v>-4.2275704379907575E-2</v>
      </c>
      <c r="V56" s="73"/>
      <c r="W56" s="115">
        <v>182.49</v>
      </c>
      <c r="X56" s="19">
        <f t="shared" si="3"/>
        <v>2.944660687087497E-2</v>
      </c>
      <c r="AJ56" s="11">
        <v>45748</v>
      </c>
      <c r="AK56" s="73">
        <v>1531.9</v>
      </c>
      <c r="AL56" s="19">
        <f t="shared" si="4"/>
        <v>-4.3416656917416585E-3</v>
      </c>
      <c r="AN56" s="115">
        <v>182.49</v>
      </c>
      <c r="AO56" s="19">
        <f t="shared" si="5"/>
        <v>2.944660687087497E-2</v>
      </c>
      <c r="BA56" s="11">
        <v>45748</v>
      </c>
      <c r="BB56">
        <v>230.88</v>
      </c>
      <c r="BC56" s="19">
        <f t="shared" si="6"/>
        <v>-7.9132099553286595E-2</v>
      </c>
      <c r="BE56" s="115">
        <v>182.49</v>
      </c>
      <c r="BF56" s="19">
        <f t="shared" si="7"/>
        <v>2.944660687087497E-2</v>
      </c>
      <c r="BR56" s="11">
        <v>45748</v>
      </c>
      <c r="BS56" s="73">
        <v>4527.6099999999997</v>
      </c>
      <c r="BT56" s="19">
        <f t="shared" si="8"/>
        <v>2.1185561429782895E-2</v>
      </c>
      <c r="BV56" s="115">
        <v>182.49</v>
      </c>
      <c r="BW56" s="19">
        <f t="shared" si="9"/>
        <v>2.944660687087497E-2</v>
      </c>
    </row>
    <row r="57" spans="2:75" x14ac:dyDescent="0.25">
      <c r="B57" s="74">
        <v>45778</v>
      </c>
      <c r="C57" s="75">
        <v>1539.14</v>
      </c>
      <c r="D57" s="19">
        <f t="shared" si="0"/>
        <v>5.6390616206124955E-2</v>
      </c>
      <c r="F57" s="115">
        <v>182.94</v>
      </c>
      <c r="G57" s="19">
        <f t="shared" si="1"/>
        <v>2.465888541837824E-3</v>
      </c>
      <c r="S57" s="11">
        <v>45778</v>
      </c>
      <c r="T57" s="73">
        <v>3347.71</v>
      </c>
      <c r="U57" s="19">
        <f t="shared" si="2"/>
        <v>2.8097881275968017E-3</v>
      </c>
      <c r="V57" s="73"/>
      <c r="W57" s="115">
        <v>182.94</v>
      </c>
      <c r="X57" s="19">
        <f t="shared" si="3"/>
        <v>2.465888541837824E-3</v>
      </c>
      <c r="AJ57" s="11">
        <v>45778</v>
      </c>
      <c r="AK57" s="73">
        <v>1599.43</v>
      </c>
      <c r="AL57" s="19">
        <f t="shared" si="4"/>
        <v>4.4082511913310141E-2</v>
      </c>
      <c r="AN57" s="115">
        <v>182.94</v>
      </c>
      <c r="AO57" s="19">
        <f t="shared" si="5"/>
        <v>2.465888541837824E-3</v>
      </c>
      <c r="BA57" s="11">
        <v>45778</v>
      </c>
      <c r="BB57">
        <v>238.69</v>
      </c>
      <c r="BC57" s="19">
        <f t="shared" si="6"/>
        <v>3.3827096327096351E-2</v>
      </c>
      <c r="BE57" s="115">
        <v>182.94</v>
      </c>
      <c r="BF57" s="19">
        <f t="shared" si="7"/>
        <v>2.465888541837824E-3</v>
      </c>
      <c r="BR57" s="11">
        <v>45778</v>
      </c>
      <c r="BS57" s="73">
        <v>5049.05</v>
      </c>
      <c r="BT57" s="19">
        <f t="shared" si="8"/>
        <v>0.11516893018612473</v>
      </c>
      <c r="BV57" s="115">
        <v>182.94</v>
      </c>
      <c r="BW57" s="19">
        <f t="shared" si="9"/>
        <v>2.465888541837824E-3</v>
      </c>
    </row>
    <row r="58" spans="2:75" x14ac:dyDescent="0.25">
      <c r="B58" s="74">
        <v>45809</v>
      </c>
      <c r="C58" s="75">
        <v>1577.65</v>
      </c>
      <c r="D58" s="19">
        <f t="shared" si="0"/>
        <v>2.5020465974505246E-2</v>
      </c>
      <c r="F58" s="115">
        <v>179.19</v>
      </c>
      <c r="G58" s="19">
        <f t="shared" si="1"/>
        <v>-2.0498524106264404E-2</v>
      </c>
      <c r="S58" s="11">
        <v>45809</v>
      </c>
      <c r="T58" s="73">
        <v>3376.1</v>
      </c>
      <c r="U58" s="19">
        <f t="shared" si="2"/>
        <v>8.4804239315829921E-3</v>
      </c>
      <c r="V58" s="73"/>
      <c r="W58" s="115">
        <v>179.19</v>
      </c>
      <c r="X58" s="19">
        <f t="shared" si="3"/>
        <v>-2.0498524106264404E-2</v>
      </c>
      <c r="AJ58" s="11">
        <v>45809</v>
      </c>
      <c r="AK58" s="73">
        <v>1689.34</v>
      </c>
      <c r="AL58" s="19">
        <f t="shared" si="4"/>
        <v>5.6213776157756135E-2</v>
      </c>
      <c r="AN58" s="115">
        <v>179.19</v>
      </c>
      <c r="AO58" s="19">
        <f t="shared" si="5"/>
        <v>-2.0498524106264404E-2</v>
      </c>
      <c r="BA58" s="11">
        <v>45809</v>
      </c>
      <c r="BB58">
        <v>254.28</v>
      </c>
      <c r="BC58" s="19">
        <f t="shared" si="6"/>
        <v>6.5314843520884791E-2</v>
      </c>
      <c r="BE58" s="115">
        <v>179.19</v>
      </c>
      <c r="BF58" s="19">
        <f t="shared" si="7"/>
        <v>-2.0498524106264404E-2</v>
      </c>
      <c r="BR58" s="11">
        <v>45809</v>
      </c>
      <c r="BS58" s="73">
        <v>5296.18</v>
      </c>
      <c r="BT58" s="19">
        <f t="shared" si="8"/>
        <v>4.8945841296877735E-2</v>
      </c>
      <c r="BV58" s="115">
        <v>179.19</v>
      </c>
      <c r="BW58" s="19">
        <f t="shared" si="9"/>
        <v>-2.0498524106264404E-2</v>
      </c>
    </row>
    <row r="59" spans="2:75" x14ac:dyDescent="0.25">
      <c r="B59" s="74">
        <v>45839</v>
      </c>
      <c r="C59" s="75">
        <v>1486.25</v>
      </c>
      <c r="D59" s="19">
        <f t="shared" si="0"/>
        <v>-5.7934269324628418E-2</v>
      </c>
      <c r="F59" s="115">
        <v>186.16</v>
      </c>
      <c r="G59" s="19">
        <f t="shared" si="1"/>
        <v>3.8897259891734981E-2</v>
      </c>
      <c r="S59" s="11">
        <v>45839</v>
      </c>
      <c r="T59" s="73">
        <v>2971.5</v>
      </c>
      <c r="U59" s="19">
        <f t="shared" si="2"/>
        <v>-0.11984242172921411</v>
      </c>
      <c r="V59" s="73"/>
      <c r="W59" s="115">
        <v>186.16</v>
      </c>
      <c r="X59" s="19">
        <f t="shared" si="3"/>
        <v>3.8897259891734981E-2</v>
      </c>
      <c r="AJ59" s="11">
        <v>45839</v>
      </c>
      <c r="AK59" s="73">
        <v>1445.8</v>
      </c>
      <c r="AL59" s="19">
        <f t="shared" si="4"/>
        <v>-0.14416280914439961</v>
      </c>
      <c r="AN59" s="115">
        <v>186.16</v>
      </c>
      <c r="AO59" s="19">
        <f t="shared" si="5"/>
        <v>3.8897259891734981E-2</v>
      </c>
      <c r="BA59" s="11">
        <v>45839</v>
      </c>
      <c r="BB59">
        <v>242.05</v>
      </c>
      <c r="BC59" s="19">
        <f t="shared" si="6"/>
        <v>-4.8096586440144695E-2</v>
      </c>
      <c r="BE59" s="115">
        <v>186.16</v>
      </c>
      <c r="BF59" s="19">
        <f t="shared" si="7"/>
        <v>3.8897259891734981E-2</v>
      </c>
      <c r="BR59" s="11">
        <v>45839</v>
      </c>
      <c r="BS59" s="73">
        <v>5086</v>
      </c>
      <c r="BT59" s="19">
        <f t="shared" si="8"/>
        <v>-3.9685207073777762E-2</v>
      </c>
      <c r="BV59" s="115">
        <v>186.16</v>
      </c>
      <c r="BW59" s="19">
        <f t="shared" si="9"/>
        <v>3.8897259891734981E-2</v>
      </c>
    </row>
    <row r="60" spans="2:75" x14ac:dyDescent="0.25">
      <c r="B60" s="74">
        <v>45870</v>
      </c>
      <c r="C60" s="75">
        <v>1447.44</v>
      </c>
      <c r="D60" s="19">
        <f t="shared" si="0"/>
        <v>-2.611269974768704E-2</v>
      </c>
      <c r="F60" s="115">
        <v>185.24</v>
      </c>
      <c r="G60" s="19">
        <f t="shared" si="1"/>
        <v>-4.9419853889126619E-3</v>
      </c>
      <c r="S60" s="11">
        <v>45870</v>
      </c>
      <c r="T60" s="73">
        <v>3018.37</v>
      </c>
      <c r="U60" s="19">
        <f t="shared" si="2"/>
        <v>1.577317852936222E-2</v>
      </c>
      <c r="V60" s="73"/>
      <c r="W60" s="115">
        <v>185.24</v>
      </c>
      <c r="X60" s="19">
        <f t="shared" si="3"/>
        <v>-4.9419853889126619E-3</v>
      </c>
      <c r="AJ60" s="11">
        <v>45870</v>
      </c>
      <c r="AK60" s="73">
        <v>1432.9</v>
      </c>
      <c r="AL60" s="19">
        <f t="shared" si="4"/>
        <v>-8.9223959053810198E-3</v>
      </c>
      <c r="AN60" s="115">
        <v>185.24</v>
      </c>
      <c r="AO60" s="19">
        <f t="shared" si="5"/>
        <v>-4.9419853889126619E-3</v>
      </c>
      <c r="BA60" s="11">
        <v>45870</v>
      </c>
      <c r="BB60">
        <v>243.13</v>
      </c>
      <c r="BC60" s="19">
        <f t="shared" si="6"/>
        <v>4.4618880396611882E-3</v>
      </c>
      <c r="BE60" s="115">
        <v>185.24</v>
      </c>
      <c r="BF60" s="19">
        <f t="shared" si="7"/>
        <v>-4.9419853889126619E-3</v>
      </c>
      <c r="BR60" s="11">
        <v>45870</v>
      </c>
      <c r="BS60" s="73">
        <v>5113.3900000000003</v>
      </c>
      <c r="BT60" s="19">
        <f t="shared" si="8"/>
        <v>5.385371608336742E-3</v>
      </c>
      <c r="BV60" s="115">
        <v>185.24</v>
      </c>
      <c r="BW60" s="19">
        <f t="shared" si="9"/>
        <v>-4.9419853889126619E-3</v>
      </c>
    </row>
    <row r="61" spans="2:75" x14ac:dyDescent="0.25">
      <c r="B61" s="74">
        <v>45901</v>
      </c>
      <c r="C61" s="75">
        <v>1420.06</v>
      </c>
      <c r="D61" s="19">
        <f t="shared" si="0"/>
        <v>-1.891615541922298E-2</v>
      </c>
      <c r="F61" s="115">
        <v>178.55</v>
      </c>
      <c r="G61" s="19">
        <f t="shared" si="1"/>
        <v>-3.6115309868278933E-2</v>
      </c>
      <c r="S61" s="11">
        <v>45901</v>
      </c>
      <c r="T61" s="73">
        <v>2826.29</v>
      </c>
      <c r="U61" s="19">
        <f t="shared" si="2"/>
        <v>-6.3636996127048651E-2</v>
      </c>
      <c r="V61" s="73"/>
      <c r="W61" s="115">
        <v>178.55</v>
      </c>
      <c r="X61" s="19">
        <f t="shared" si="3"/>
        <v>-3.6115309868278933E-2</v>
      </c>
      <c r="AJ61" s="11">
        <v>45901</v>
      </c>
      <c r="AK61" s="73">
        <v>1364.25</v>
      </c>
      <c r="AL61" s="19">
        <f t="shared" si="4"/>
        <v>-4.7909833205387775E-2</v>
      </c>
      <c r="AN61" s="115">
        <v>178.55</v>
      </c>
      <c r="AO61" s="19">
        <f t="shared" si="5"/>
        <v>-3.6115309868278933E-2</v>
      </c>
      <c r="BA61" s="11">
        <v>45901</v>
      </c>
      <c r="BB61">
        <v>233.35</v>
      </c>
      <c r="BC61" s="19">
        <f t="shared" si="6"/>
        <v>-4.0225393822235E-2</v>
      </c>
      <c r="BE61" s="115">
        <v>178.55</v>
      </c>
      <c r="BF61" s="19">
        <f t="shared" si="7"/>
        <v>-3.6115309868278933E-2</v>
      </c>
      <c r="BR61" s="11">
        <v>45901</v>
      </c>
      <c r="BS61" s="73">
        <v>5137.3</v>
      </c>
      <c r="BT61" s="19">
        <f t="shared" si="8"/>
        <v>4.6759586106281947E-3</v>
      </c>
      <c r="BV61" s="115">
        <v>178.55</v>
      </c>
      <c r="BW61" s="19">
        <f t="shared" si="9"/>
        <v>-3.6115309868278933E-2</v>
      </c>
    </row>
    <row r="62" spans="2:75" x14ac:dyDescent="0.25">
      <c r="B62" s="74">
        <v>45931</v>
      </c>
      <c r="C62" s="75">
        <v>1482.3</v>
      </c>
      <c r="D62" s="19">
        <f t="shared" si="0"/>
        <v>4.3829133980254342E-2</v>
      </c>
      <c r="F62" s="115">
        <v>165.95</v>
      </c>
      <c r="G62" s="19">
        <f t="shared" si="1"/>
        <v>-7.056846821618612E-2</v>
      </c>
      <c r="S62" s="11">
        <v>45931</v>
      </c>
      <c r="T62" s="73">
        <v>3003.4</v>
      </c>
      <c r="U62" s="19">
        <f t="shared" si="2"/>
        <v>6.2665190054806974E-2</v>
      </c>
      <c r="V62" s="73"/>
      <c r="W62" s="115">
        <v>165.95</v>
      </c>
      <c r="X62" s="19">
        <f t="shared" si="3"/>
        <v>-7.056846821618612E-2</v>
      </c>
      <c r="AJ62" s="11">
        <v>45931</v>
      </c>
      <c r="AK62" s="73">
        <v>1530.41</v>
      </c>
      <c r="AL62" s="19">
        <f t="shared" si="4"/>
        <v>0.12179585853032804</v>
      </c>
      <c r="AN62" s="115">
        <v>165.95</v>
      </c>
      <c r="AO62" s="19">
        <f t="shared" si="5"/>
        <v>-7.056846821618612E-2</v>
      </c>
      <c r="BA62" s="11">
        <v>45931</v>
      </c>
      <c r="BB62">
        <v>234.61</v>
      </c>
      <c r="BC62" s="19">
        <f t="shared" si="6"/>
        <v>5.3996143132635233E-3</v>
      </c>
      <c r="BE62" s="115">
        <v>165.95</v>
      </c>
      <c r="BF62" s="19">
        <f t="shared" si="7"/>
        <v>-7.056846821618612E-2</v>
      </c>
      <c r="BR62" s="11">
        <v>45931</v>
      </c>
      <c r="BS62" s="73">
        <v>5684.5</v>
      </c>
      <c r="BT62" s="19">
        <f t="shared" si="8"/>
        <v>0.10651509547816951</v>
      </c>
      <c r="BV62" s="115">
        <v>165.95</v>
      </c>
      <c r="BW62" s="19">
        <f t="shared" si="9"/>
        <v>-7.056846821618612E-2</v>
      </c>
    </row>
    <row r="63" spans="2:75" x14ac:dyDescent="0.25">
      <c r="B63" s="74">
        <v>45962</v>
      </c>
      <c r="C63" s="75">
        <v>1560.1</v>
      </c>
      <c r="D63" s="19">
        <f t="shared" si="0"/>
        <v>5.2486001484179923E-2</v>
      </c>
      <c r="F63" s="115">
        <v>165.08</v>
      </c>
      <c r="G63" s="19">
        <f t="shared" si="1"/>
        <v>-5.2425429346186769E-3</v>
      </c>
      <c r="S63" s="11">
        <v>45962</v>
      </c>
      <c r="T63" s="73">
        <v>3081.48</v>
      </c>
      <c r="U63" s="19">
        <f t="shared" si="2"/>
        <v>2.5997203169740857E-2</v>
      </c>
      <c r="V63" s="73"/>
      <c r="W63" s="115">
        <v>165.08</v>
      </c>
      <c r="X63" s="19">
        <f t="shared" si="3"/>
        <v>-5.2425429346186769E-3</v>
      </c>
      <c r="AJ63" s="11">
        <v>45962</v>
      </c>
      <c r="AK63" s="73">
        <v>1612.52</v>
      </c>
      <c r="AL63" s="19">
        <f t="shared" si="4"/>
        <v>5.3652289255820218E-2</v>
      </c>
      <c r="AN63" s="115">
        <v>165.08</v>
      </c>
      <c r="AO63" s="19">
        <f t="shared" si="5"/>
        <v>-5.2425429346186769E-3</v>
      </c>
      <c r="BA63" s="11">
        <v>45962</v>
      </c>
      <c r="BB63">
        <v>243.25</v>
      </c>
      <c r="BC63" s="19">
        <f t="shared" si="6"/>
        <v>3.6827074719747666E-2</v>
      </c>
      <c r="BE63" s="115">
        <v>165.08</v>
      </c>
      <c r="BF63" s="19">
        <f t="shared" si="7"/>
        <v>-5.2425429346186769E-3</v>
      </c>
      <c r="BR63" s="11">
        <v>45962</v>
      </c>
      <c r="BS63" s="73">
        <v>6096.5</v>
      </c>
      <c r="BT63" s="19">
        <f t="shared" si="8"/>
        <v>7.2477790482892157E-2</v>
      </c>
      <c r="BV63" s="115">
        <v>165.08</v>
      </c>
      <c r="BW63" s="19">
        <f t="shared" si="9"/>
        <v>-5.2425429346186769E-3</v>
      </c>
    </row>
    <row r="64" spans="2:75" x14ac:dyDescent="0.25">
      <c r="B64" s="74">
        <v>45992</v>
      </c>
      <c r="C64" s="75">
        <v>1615.4</v>
      </c>
      <c r="D64" s="19">
        <f t="shared" si="0"/>
        <v>3.5446445740657806E-2</v>
      </c>
      <c r="F64" s="115">
        <v>161.74</v>
      </c>
      <c r="G64" s="19">
        <f t="shared" si="1"/>
        <v>-2.0232614489944289E-2</v>
      </c>
      <c r="S64" s="11">
        <v>45992</v>
      </c>
      <c r="T64" s="73">
        <v>3148.96</v>
      </c>
      <c r="U64" s="19">
        <f t="shared" si="2"/>
        <v>2.1898568220465542E-2</v>
      </c>
      <c r="V64" s="73"/>
      <c r="W64" s="115">
        <v>161.74</v>
      </c>
      <c r="X64" s="19">
        <f t="shared" si="3"/>
        <v>-2.0232614489944289E-2</v>
      </c>
      <c r="AJ64" s="11">
        <v>45992</v>
      </c>
      <c r="AK64" s="73">
        <v>1611.63</v>
      </c>
      <c r="AL64" s="19">
        <f t="shared" si="4"/>
        <v>-5.5193113883855727E-4</v>
      </c>
      <c r="AN64" s="115">
        <v>161.74</v>
      </c>
      <c r="AO64" s="19">
        <f t="shared" si="5"/>
        <v>-2.0232614489944289E-2</v>
      </c>
      <c r="BA64" s="11">
        <v>45992</v>
      </c>
      <c r="BB64">
        <v>256.64999999999998</v>
      </c>
      <c r="BC64" s="19">
        <f t="shared" si="6"/>
        <v>5.5087358684480892E-2</v>
      </c>
      <c r="BE64" s="115">
        <v>161.74</v>
      </c>
      <c r="BF64" s="19">
        <f t="shared" si="7"/>
        <v>-2.0232614489944289E-2</v>
      </c>
      <c r="BR64" s="11">
        <v>45992</v>
      </c>
      <c r="BS64" s="73">
        <v>6063.5</v>
      </c>
      <c r="BT64" s="19">
        <f t="shared" si="8"/>
        <v>-5.4129418518822359E-3</v>
      </c>
      <c r="BV64" s="115">
        <v>161.74</v>
      </c>
      <c r="BW64" s="19">
        <f t="shared" si="9"/>
        <v>-2.0232614489944289E-2</v>
      </c>
    </row>
    <row r="65" spans="2:75" x14ac:dyDescent="0.25">
      <c r="B65" s="74">
        <v>46023</v>
      </c>
      <c r="C65" s="75">
        <v>1641</v>
      </c>
      <c r="D65" s="19">
        <f t="shared" si="0"/>
        <v>1.5847468119351227E-2</v>
      </c>
      <c r="F65" s="115">
        <v>153.03</v>
      </c>
      <c r="G65" s="19">
        <f t="shared" si="1"/>
        <v>-5.3851861011499969E-2</v>
      </c>
      <c r="S65" s="11">
        <v>46023</v>
      </c>
      <c r="T65" s="73">
        <v>3123.9</v>
      </c>
      <c r="U65" s="19">
        <f t="shared" si="2"/>
        <v>-7.9581830191555181E-3</v>
      </c>
      <c r="V65" s="73"/>
      <c r="W65" s="115">
        <v>153.03</v>
      </c>
      <c r="X65" s="19">
        <f t="shared" si="3"/>
        <v>-5.3851861011499969E-2</v>
      </c>
      <c r="AJ65" s="11">
        <v>46023</v>
      </c>
      <c r="AK65" s="73">
        <v>1695.6</v>
      </c>
      <c r="AL65" s="19">
        <f t="shared" si="4"/>
        <v>5.2102529736974157E-2</v>
      </c>
      <c r="AN65" s="115">
        <v>153.03</v>
      </c>
      <c r="AO65" s="19">
        <f t="shared" si="5"/>
        <v>-5.3851861011499969E-2</v>
      </c>
      <c r="BA65" s="11">
        <v>46023</v>
      </c>
      <c r="BB65">
        <v>236.9</v>
      </c>
      <c r="BC65" s="19">
        <f t="shared" si="6"/>
        <v>-7.695304889927912E-2</v>
      </c>
      <c r="BE65" s="115">
        <v>153.03</v>
      </c>
      <c r="BF65" s="19">
        <f t="shared" si="7"/>
        <v>-5.3851861011499969E-2</v>
      </c>
      <c r="BR65" s="11">
        <v>46023</v>
      </c>
      <c r="BS65" s="73">
        <v>5974.5</v>
      </c>
      <c r="BT65" s="19">
        <f t="shared" si="8"/>
        <v>-1.4677991259173795E-2</v>
      </c>
      <c r="BV65" s="115">
        <v>153.03</v>
      </c>
      <c r="BW65" s="19">
        <f t="shared" si="9"/>
        <v>-5.3851861011499969E-2</v>
      </c>
    </row>
    <row r="66" spans="2:75" x14ac:dyDescent="0.25">
      <c r="B66" s="74">
        <v>46054</v>
      </c>
      <c r="C66" s="75">
        <v>1656</v>
      </c>
      <c r="D66" s="19">
        <f t="shared" si="0"/>
        <v>9.1407678244972423E-3</v>
      </c>
      <c r="F66" s="115">
        <v>152.85</v>
      </c>
      <c r="G66" s="19">
        <f t="shared" si="1"/>
        <v>-1.1762399529504641E-3</v>
      </c>
      <c r="S66" s="11">
        <v>46054</v>
      </c>
      <c r="T66" s="73">
        <v>3225.3</v>
      </c>
      <c r="U66" s="19">
        <f>T66/T65-1</f>
        <v>3.2459425717852763E-2</v>
      </c>
      <c r="W66" s="115">
        <v>152.85</v>
      </c>
      <c r="X66" s="19">
        <f t="shared" si="3"/>
        <v>-1.1762399529504641E-3</v>
      </c>
      <c r="AJ66" s="11">
        <v>46054</v>
      </c>
      <c r="AK66" s="73">
        <v>1573.1</v>
      </c>
      <c r="AL66" s="19">
        <f>AK66/AK65-1</f>
        <v>-7.2245812691672517E-2</v>
      </c>
      <c r="AN66" s="115">
        <v>152.85</v>
      </c>
      <c r="AO66" s="19">
        <f t="shared" si="5"/>
        <v>-1.1762399529504641E-3</v>
      </c>
      <c r="BA66" s="11">
        <v>46054</v>
      </c>
      <c r="BB66">
        <v>231.47</v>
      </c>
      <c r="BC66" s="19">
        <f>BB66/BB65-1</f>
        <v>-2.2921063739974712E-2</v>
      </c>
      <c r="BE66" s="115">
        <v>152.85</v>
      </c>
      <c r="BF66" s="19">
        <f t="shared" si="7"/>
        <v>-1.1762399529504641E-3</v>
      </c>
      <c r="BR66" s="11">
        <v>46054</v>
      </c>
      <c r="BS66" s="73">
        <v>5662</v>
      </c>
      <c r="BT66" s="19">
        <f>BS66/BS65-1</f>
        <v>-5.2305632270482905E-2</v>
      </c>
      <c r="BV66" s="115">
        <v>152.85</v>
      </c>
      <c r="BW66" s="19">
        <f t="shared" si="9"/>
        <v>-1.1762399529504641E-3</v>
      </c>
    </row>
    <row r="71" spans="2:75" x14ac:dyDescent="0.25">
      <c r="T71" s="73"/>
    </row>
  </sheetData>
  <mergeCells count="15">
    <mergeCell ref="Z4:AA4"/>
    <mergeCell ref="B4:D4"/>
    <mergeCell ref="F4:G4"/>
    <mergeCell ref="I4:J4"/>
    <mergeCell ref="S4:U4"/>
    <mergeCell ref="W4:X4"/>
    <mergeCell ref="BH4:BI4"/>
    <mergeCell ref="BR4:BT4"/>
    <mergeCell ref="BV4:BW4"/>
    <mergeCell ref="BY4:BZ4"/>
    <mergeCell ref="AJ4:AL4"/>
    <mergeCell ref="AN4:AO4"/>
    <mergeCell ref="AQ4:AR4"/>
    <mergeCell ref="BA4:BC4"/>
    <mergeCell ref="BE4:BF4"/>
  </mergeCells>
  <hyperlinks>
    <hyperlink ref="T66" r:id="rId1" tooltip="Tata Consultancy Services Limited ( TCS.NS) - Price History" display="https://www.digrin.com/stocks/detail/TCS.NS/price?utm_source=chatgpt.com" xr:uid="{9382E9B9-C1DD-47D1-92AC-951B4F85DF2D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9043-E452-499E-AD5D-1C685C4632B0}">
  <dimension ref="B2:G31"/>
  <sheetViews>
    <sheetView showGridLines="0" workbookViewId="0">
      <selection activeCell="C10" sqref="C10"/>
    </sheetView>
  </sheetViews>
  <sheetFormatPr defaultRowHeight="15" x14ac:dyDescent="0.25"/>
  <cols>
    <col min="1" max="1" width="1.85546875" customWidth="1"/>
  </cols>
  <sheetData>
    <row r="2" spans="2:7" x14ac:dyDescent="0.25">
      <c r="B2" s="17" t="s">
        <v>254</v>
      </c>
      <c r="C2" s="18"/>
      <c r="D2" s="18"/>
      <c r="E2" s="18"/>
      <c r="F2" s="18"/>
      <c r="G2" s="18"/>
    </row>
    <row r="4" spans="2:7" x14ac:dyDescent="0.25">
      <c r="B4" s="139" t="s">
        <v>149</v>
      </c>
      <c r="C4" s="140" t="s">
        <v>253</v>
      </c>
    </row>
    <row r="5" spans="2:7" x14ac:dyDescent="0.25">
      <c r="B5" s="39">
        <v>2000</v>
      </c>
      <c r="C5" s="86">
        <v>-0.14649999999999999</v>
      </c>
      <c r="E5" t="s">
        <v>255</v>
      </c>
      <c r="G5" s="40">
        <f>AVERAGE(C5:C30)</f>
        <v>0.1514923076923077</v>
      </c>
    </row>
    <row r="6" spans="2:7" ht="17.25" x14ac:dyDescent="0.25">
      <c r="B6" s="39">
        <v>2001</v>
      </c>
      <c r="C6" s="86">
        <v>-0.1618</v>
      </c>
      <c r="E6" t="s">
        <v>256</v>
      </c>
      <c r="G6" s="87" t="s">
        <v>257</v>
      </c>
    </row>
    <row r="7" spans="2:7" x14ac:dyDescent="0.25">
      <c r="B7" s="39">
        <v>2002</v>
      </c>
      <c r="C7" s="86">
        <v>3.2500000000000001E-2</v>
      </c>
      <c r="E7" s="88" t="s">
        <v>258</v>
      </c>
      <c r="F7" s="88"/>
      <c r="G7" s="89">
        <f>SUM(G5:G6)</f>
        <v>0.1514923076923077</v>
      </c>
    </row>
    <row r="8" spans="2:7" x14ac:dyDescent="0.25">
      <c r="B8" s="39">
        <v>2003</v>
      </c>
      <c r="C8" s="86">
        <v>0.71900000000000008</v>
      </c>
    </row>
    <row r="9" spans="2:7" x14ac:dyDescent="0.25">
      <c r="B9" s="39">
        <v>2004</v>
      </c>
      <c r="C9" s="86">
        <v>0.10679999999999999</v>
      </c>
    </row>
    <row r="10" spans="2:7" x14ac:dyDescent="0.25">
      <c r="B10" s="39">
        <v>2005</v>
      </c>
      <c r="C10" s="86">
        <v>0.36340000000000006</v>
      </c>
    </row>
    <row r="11" spans="2:7" x14ac:dyDescent="0.25">
      <c r="B11" s="39">
        <v>2006</v>
      </c>
      <c r="C11" s="86">
        <v>0.39829999999999999</v>
      </c>
    </row>
    <row r="12" spans="2:7" x14ac:dyDescent="0.25">
      <c r="B12" s="39">
        <v>2007</v>
      </c>
      <c r="C12" s="86">
        <v>0.54770000000000008</v>
      </c>
    </row>
    <row r="13" spans="2:7" x14ac:dyDescent="0.25">
      <c r="B13" s="39">
        <v>2008</v>
      </c>
      <c r="C13" s="86">
        <v>-0.51790000000000003</v>
      </c>
    </row>
    <row r="14" spans="2:7" x14ac:dyDescent="0.25">
      <c r="B14" s="39">
        <v>2009</v>
      </c>
      <c r="C14" s="86">
        <v>0.75760000000000005</v>
      </c>
    </row>
    <row r="15" spans="2:7" x14ac:dyDescent="0.25">
      <c r="B15" s="39">
        <v>2010</v>
      </c>
      <c r="C15" s="86">
        <v>0.17949999999999999</v>
      </c>
    </row>
    <row r="16" spans="2:7" x14ac:dyDescent="0.25">
      <c r="B16" s="39">
        <v>2011</v>
      </c>
      <c r="C16" s="86">
        <v>-0.2462</v>
      </c>
    </row>
    <row r="17" spans="2:3" x14ac:dyDescent="0.25">
      <c r="B17" s="39">
        <v>2012</v>
      </c>
      <c r="C17" s="86">
        <v>0.27699999999999997</v>
      </c>
    </row>
    <row r="18" spans="2:3" x14ac:dyDescent="0.25">
      <c r="B18" s="39">
        <v>2013</v>
      </c>
      <c r="C18" s="86">
        <v>6.7599999999999993E-2</v>
      </c>
    </row>
    <row r="19" spans="2:3" x14ac:dyDescent="0.25">
      <c r="B19" s="39">
        <v>2014</v>
      </c>
      <c r="C19" s="86">
        <v>0.31390000000000001</v>
      </c>
    </row>
    <row r="20" spans="2:3" x14ac:dyDescent="0.25">
      <c r="B20" s="39">
        <v>2015</v>
      </c>
      <c r="C20" s="86">
        <v>-4.0599999999999997E-2</v>
      </c>
    </row>
    <row r="21" spans="2:3" x14ac:dyDescent="0.25">
      <c r="B21" s="39">
        <v>2016</v>
      </c>
      <c r="C21" s="86">
        <v>3.0099999999999998E-2</v>
      </c>
    </row>
    <row r="22" spans="2:3" x14ac:dyDescent="0.25">
      <c r="B22" s="39">
        <v>2017</v>
      </c>
      <c r="C22" s="86">
        <v>0.28649999999999998</v>
      </c>
    </row>
    <row r="23" spans="2:3" x14ac:dyDescent="0.25">
      <c r="B23" s="39">
        <v>2018</v>
      </c>
      <c r="C23" s="86">
        <v>3.15E-2</v>
      </c>
    </row>
    <row r="24" spans="2:3" x14ac:dyDescent="0.25">
      <c r="B24" s="39">
        <v>2019</v>
      </c>
      <c r="C24" s="86">
        <v>0.1202</v>
      </c>
    </row>
    <row r="25" spans="2:3" x14ac:dyDescent="0.25">
      <c r="B25" s="39">
        <v>2020</v>
      </c>
      <c r="C25" s="86">
        <v>0.14899999999999999</v>
      </c>
    </row>
    <row r="26" spans="2:3" x14ac:dyDescent="0.25">
      <c r="B26" s="39">
        <v>2021</v>
      </c>
      <c r="C26" s="86">
        <v>0.2412</v>
      </c>
    </row>
    <row r="27" spans="2:3" x14ac:dyDescent="0.25">
      <c r="B27" s="39">
        <v>2022</v>
      </c>
      <c r="C27" s="86">
        <v>4.3200000000000002E-2</v>
      </c>
    </row>
    <row r="28" spans="2:3" x14ac:dyDescent="0.25">
      <c r="B28" s="39">
        <v>2023</v>
      </c>
      <c r="C28" s="86">
        <v>0.19420000000000001</v>
      </c>
    </row>
    <row r="29" spans="2:3" x14ac:dyDescent="0.25">
      <c r="B29" s="39">
        <v>2024</v>
      </c>
      <c r="C29" s="86">
        <v>8.7499999999999994E-2</v>
      </c>
    </row>
    <row r="30" spans="2:3" x14ac:dyDescent="0.25">
      <c r="B30" s="39">
        <v>2025</v>
      </c>
      <c r="C30" s="86">
        <v>0.1051</v>
      </c>
    </row>
    <row r="31" spans="2:3" x14ac:dyDescent="0.25">
      <c r="B31" s="3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2EBA-A9DD-4F08-AD9F-9263355B3068}">
  <dimension ref="B2:G7"/>
  <sheetViews>
    <sheetView workbookViewId="0">
      <selection activeCell="B2" sqref="B2"/>
    </sheetView>
  </sheetViews>
  <sheetFormatPr defaultRowHeight="15" x14ac:dyDescent="0.25"/>
  <cols>
    <col min="3" max="3" width="18" bestFit="1" customWidth="1"/>
    <col min="4" max="4" width="8" bestFit="1" customWidth="1"/>
    <col min="5" max="5" width="14.140625" bestFit="1" customWidth="1"/>
    <col min="6" max="6" width="10.7109375" bestFit="1" customWidth="1"/>
  </cols>
  <sheetData>
    <row r="2" spans="2:7" x14ac:dyDescent="0.25">
      <c r="B2" t="s">
        <v>237</v>
      </c>
      <c r="C2" t="s">
        <v>238</v>
      </c>
      <c r="D2" t="s">
        <v>239</v>
      </c>
      <c r="E2" t="s">
        <v>240</v>
      </c>
      <c r="F2" t="s">
        <v>241</v>
      </c>
      <c r="G2" t="s">
        <v>242</v>
      </c>
    </row>
    <row r="3" spans="2:7" x14ac:dyDescent="0.25">
      <c r="B3">
        <v>1</v>
      </c>
      <c r="C3" t="s">
        <v>232</v>
      </c>
      <c r="D3">
        <v>2947.1</v>
      </c>
      <c r="E3">
        <v>1066286.6200000001</v>
      </c>
      <c r="F3">
        <v>10932</v>
      </c>
      <c r="G3">
        <v>0.1</v>
      </c>
    </row>
    <row r="4" spans="2:7" x14ac:dyDescent="0.25">
      <c r="B4">
        <v>2</v>
      </c>
      <c r="C4" t="s">
        <v>233</v>
      </c>
      <c r="D4">
        <v>1497.05</v>
      </c>
      <c r="E4">
        <v>607005.1</v>
      </c>
      <c r="F4">
        <v>8796</v>
      </c>
      <c r="G4">
        <v>0.11</v>
      </c>
    </row>
    <row r="5" spans="2:7" x14ac:dyDescent="0.25">
      <c r="B5">
        <v>3</v>
      </c>
      <c r="C5" t="s">
        <v>234</v>
      </c>
      <c r="D5">
        <v>1600.8</v>
      </c>
      <c r="E5">
        <v>434403.52</v>
      </c>
      <c r="F5">
        <v>6780</v>
      </c>
      <c r="G5">
        <v>0.1</v>
      </c>
    </row>
    <row r="6" spans="2:7" x14ac:dyDescent="0.25">
      <c r="B6">
        <v>4</v>
      </c>
      <c r="C6" t="s">
        <v>235</v>
      </c>
      <c r="D6">
        <v>230.1</v>
      </c>
      <c r="E6">
        <v>241313.87</v>
      </c>
      <c r="F6">
        <v>16163.7</v>
      </c>
      <c r="G6">
        <v>0.19</v>
      </c>
    </row>
    <row r="7" spans="2:7" x14ac:dyDescent="0.25">
      <c r="B7">
        <v>5</v>
      </c>
      <c r="C7" t="s">
        <v>236</v>
      </c>
      <c r="D7">
        <v>5625.75</v>
      </c>
      <c r="E7">
        <v>166799.73000000001</v>
      </c>
      <c r="F7">
        <v>2382.6</v>
      </c>
      <c r="G7">
        <v>0.1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DFD5-5EA5-4FA7-BD49-70BE4B48967D}">
  <dimension ref="B2:AA63"/>
  <sheetViews>
    <sheetView showGridLines="0" workbookViewId="0">
      <selection activeCell="B11" sqref="B11"/>
    </sheetView>
  </sheetViews>
  <sheetFormatPr defaultRowHeight="15" x14ac:dyDescent="0.25"/>
  <cols>
    <col min="1" max="1" width="1.85546875" customWidth="1"/>
    <col min="2" max="2" width="9.140625" customWidth="1"/>
    <col min="4" max="5" width="5.7109375" customWidth="1"/>
    <col min="6" max="6" width="7.42578125" bestFit="1" customWidth="1"/>
    <col min="7" max="7" width="12.140625" bestFit="1" customWidth="1"/>
    <col min="8" max="9" width="5.7109375" customWidth="1"/>
    <col min="12" max="13" width="5.7109375" customWidth="1"/>
    <col min="14" max="14" width="11.28515625" customWidth="1"/>
    <col min="15" max="15" width="9.7109375" customWidth="1"/>
    <col min="16" max="17" width="5.7109375" customWidth="1"/>
    <col min="19" max="19" width="10.140625" customWidth="1"/>
    <col min="20" max="21" width="5.7109375" customWidth="1"/>
    <col min="23" max="23" width="9.7109375" customWidth="1"/>
  </cols>
  <sheetData>
    <row r="2" spans="2:23" x14ac:dyDescent="0.25">
      <c r="B2" s="161" t="s">
        <v>243</v>
      </c>
      <c r="C2" s="161"/>
      <c r="F2" s="161" t="s">
        <v>244</v>
      </c>
      <c r="G2" s="161"/>
      <c r="J2" s="161" t="s">
        <v>245</v>
      </c>
      <c r="K2" s="161"/>
      <c r="N2" s="161" t="s">
        <v>247</v>
      </c>
      <c r="O2" s="161"/>
      <c r="R2" s="161" t="s">
        <v>246</v>
      </c>
      <c r="S2" s="161"/>
      <c r="V2" s="161" t="s">
        <v>248</v>
      </c>
      <c r="W2" s="161"/>
    </row>
    <row r="3" spans="2:23" x14ac:dyDescent="0.25">
      <c r="B3" s="113" t="s">
        <v>192</v>
      </c>
      <c r="C3" s="113" t="s">
        <v>193</v>
      </c>
      <c r="F3" s="149" t="s">
        <v>192</v>
      </c>
      <c r="G3" s="113" t="s">
        <v>193</v>
      </c>
      <c r="J3" s="113" t="s">
        <v>192</v>
      </c>
      <c r="K3" s="113" t="s">
        <v>193</v>
      </c>
      <c r="N3" s="113" t="s">
        <v>192</v>
      </c>
      <c r="O3" s="113" t="s">
        <v>193</v>
      </c>
      <c r="R3" s="113" t="s">
        <v>192</v>
      </c>
      <c r="S3" s="113" t="s">
        <v>193</v>
      </c>
      <c r="V3" s="113" t="s">
        <v>192</v>
      </c>
      <c r="W3" s="113" t="s">
        <v>193</v>
      </c>
    </row>
    <row r="4" spans="2:23" x14ac:dyDescent="0.25">
      <c r="B4" s="150">
        <v>46054</v>
      </c>
      <c r="C4" s="151">
        <v>1656</v>
      </c>
      <c r="D4" s="73"/>
      <c r="E4" s="40"/>
      <c r="F4" s="148">
        <v>46054</v>
      </c>
      <c r="G4" s="115">
        <v>282.93</v>
      </c>
      <c r="J4" s="150">
        <v>46054</v>
      </c>
      <c r="K4" s="151">
        <v>2793.57</v>
      </c>
      <c r="N4" s="150">
        <v>46054</v>
      </c>
      <c r="O4" s="151">
        <v>1573.1</v>
      </c>
      <c r="R4" s="150">
        <v>46054</v>
      </c>
      <c r="S4" s="153">
        <v>231.47</v>
      </c>
      <c r="V4" s="150">
        <v>46054</v>
      </c>
      <c r="W4" s="151">
        <v>5662</v>
      </c>
    </row>
    <row r="5" spans="2:23" x14ac:dyDescent="0.25">
      <c r="B5" s="150">
        <v>46023</v>
      </c>
      <c r="C5" s="151">
        <v>1641</v>
      </c>
      <c r="D5" s="73"/>
      <c r="E5" s="40"/>
      <c r="F5" s="148">
        <v>46023</v>
      </c>
      <c r="G5" s="115">
        <v>279.32</v>
      </c>
      <c r="J5" s="150">
        <v>46023</v>
      </c>
      <c r="K5" s="151">
        <v>2668.57</v>
      </c>
      <c r="N5" s="150">
        <v>46023</v>
      </c>
      <c r="O5" s="151">
        <v>1695.6</v>
      </c>
      <c r="R5" s="150">
        <v>46023</v>
      </c>
      <c r="S5" s="153">
        <v>236.9</v>
      </c>
      <c r="V5" s="150">
        <v>46023</v>
      </c>
      <c r="W5" s="151">
        <v>5974.5</v>
      </c>
    </row>
    <row r="6" spans="2:23" x14ac:dyDescent="0.25">
      <c r="B6" s="150">
        <v>45992</v>
      </c>
      <c r="C6" s="151">
        <v>1615.4</v>
      </c>
      <c r="D6" s="73"/>
      <c r="E6" s="40"/>
      <c r="F6" s="148">
        <v>45992</v>
      </c>
      <c r="G6" s="115">
        <v>287.88</v>
      </c>
      <c r="J6" s="150">
        <v>45992</v>
      </c>
      <c r="K6" s="151">
        <v>2790.72</v>
      </c>
      <c r="N6" s="150">
        <v>45992</v>
      </c>
      <c r="O6" s="151">
        <v>1611.63</v>
      </c>
      <c r="R6" s="150">
        <v>45992</v>
      </c>
      <c r="S6" s="153">
        <v>256.64999999999998</v>
      </c>
      <c r="V6" s="150">
        <v>45992</v>
      </c>
      <c r="W6" s="151">
        <v>6063.5</v>
      </c>
    </row>
    <row r="7" spans="2:23" x14ac:dyDescent="0.25">
      <c r="B7" s="150">
        <v>45962</v>
      </c>
      <c r="C7" s="151">
        <v>1560.1</v>
      </c>
      <c r="D7" s="73"/>
      <c r="E7" s="40"/>
      <c r="F7" s="148">
        <v>45962</v>
      </c>
      <c r="G7" s="115">
        <v>288.64</v>
      </c>
      <c r="J7" s="150">
        <v>45962</v>
      </c>
      <c r="K7" s="151">
        <v>2955.56</v>
      </c>
      <c r="N7" s="150">
        <v>45962</v>
      </c>
      <c r="O7" s="151">
        <v>1612.52</v>
      </c>
      <c r="R7" s="150">
        <v>45962</v>
      </c>
      <c r="S7" s="153">
        <v>243.25</v>
      </c>
      <c r="V7" s="150">
        <v>45962</v>
      </c>
      <c r="W7" s="151">
        <v>6096.5</v>
      </c>
    </row>
    <row r="8" spans="2:23" x14ac:dyDescent="0.25">
      <c r="B8" s="150">
        <v>45931</v>
      </c>
      <c r="C8" s="151">
        <v>1482.3</v>
      </c>
      <c r="D8" s="73"/>
      <c r="E8" s="40"/>
      <c r="F8" s="148">
        <v>45931</v>
      </c>
      <c r="G8" s="115">
        <v>283.22000000000003</v>
      </c>
      <c r="J8" s="150">
        <v>45931</v>
      </c>
      <c r="K8" s="151">
        <v>2804.16</v>
      </c>
      <c r="N8" s="150">
        <v>45931</v>
      </c>
      <c r="O8" s="151">
        <v>1530.41</v>
      </c>
      <c r="R8" s="150">
        <v>45931</v>
      </c>
      <c r="S8" s="153">
        <v>234.61</v>
      </c>
      <c r="V8" s="150">
        <v>45931</v>
      </c>
      <c r="W8" s="151">
        <v>5684.5</v>
      </c>
    </row>
    <row r="9" spans="2:23" x14ac:dyDescent="0.25">
      <c r="B9" s="150">
        <v>45901</v>
      </c>
      <c r="C9" s="151">
        <v>1420.06</v>
      </c>
      <c r="D9" s="73"/>
      <c r="E9" s="40"/>
      <c r="F9" s="148">
        <v>45901</v>
      </c>
      <c r="G9" s="115">
        <v>270.2</v>
      </c>
      <c r="J9" s="150">
        <v>45901</v>
      </c>
      <c r="K9" s="151">
        <v>3352.16</v>
      </c>
      <c r="N9" s="150">
        <v>45901</v>
      </c>
      <c r="O9" s="151">
        <v>1364.25</v>
      </c>
      <c r="R9" s="150">
        <v>45901</v>
      </c>
      <c r="S9" s="153">
        <v>233.35</v>
      </c>
      <c r="V9" s="150">
        <v>45901</v>
      </c>
      <c r="W9" s="151">
        <v>5137.3</v>
      </c>
    </row>
    <row r="10" spans="2:23" x14ac:dyDescent="0.25">
      <c r="B10" s="150">
        <v>45870</v>
      </c>
      <c r="C10" s="151">
        <v>1447.44</v>
      </c>
      <c r="D10" s="73"/>
      <c r="E10" s="40"/>
      <c r="F10" s="148">
        <v>45870</v>
      </c>
      <c r="G10" s="115">
        <v>268.67</v>
      </c>
      <c r="J10" s="150">
        <v>45870</v>
      </c>
      <c r="K10" s="151">
        <v>3342.51</v>
      </c>
      <c r="N10" s="150">
        <v>45870</v>
      </c>
      <c r="O10" s="151">
        <v>1432.9</v>
      </c>
      <c r="R10" s="150">
        <v>45870</v>
      </c>
      <c r="S10" s="153">
        <v>243.13</v>
      </c>
      <c r="V10" s="150">
        <v>45870</v>
      </c>
      <c r="W10" s="151">
        <v>5113.3900000000003</v>
      </c>
    </row>
    <row r="11" spans="2:23" x14ac:dyDescent="0.25">
      <c r="B11" s="150">
        <v>45839</v>
      </c>
      <c r="C11" s="151">
        <v>1486.25</v>
      </c>
      <c r="D11" s="73"/>
      <c r="E11" s="40"/>
      <c r="F11" s="148">
        <v>45839</v>
      </c>
      <c r="G11" s="115">
        <v>272.04000000000002</v>
      </c>
      <c r="J11" s="150">
        <v>45839</v>
      </c>
      <c r="K11" s="151">
        <v>3013.82</v>
      </c>
      <c r="N11" s="150">
        <v>45839</v>
      </c>
      <c r="O11" s="151">
        <v>1445.8</v>
      </c>
      <c r="R11" s="150">
        <v>45839</v>
      </c>
      <c r="S11" s="153">
        <v>242.05</v>
      </c>
      <c r="V11" s="150">
        <v>45839</v>
      </c>
      <c r="W11" s="151">
        <v>5086</v>
      </c>
    </row>
    <row r="12" spans="2:23" x14ac:dyDescent="0.25">
      <c r="B12" s="150">
        <v>45809</v>
      </c>
      <c r="C12" s="151">
        <v>1577.65</v>
      </c>
      <c r="D12" s="73"/>
      <c r="E12" s="40"/>
      <c r="F12" s="148">
        <v>45809</v>
      </c>
      <c r="G12" s="115">
        <v>279.35000000000002</v>
      </c>
      <c r="J12" s="150">
        <v>45809</v>
      </c>
      <c r="K12" s="151">
        <v>3130.37</v>
      </c>
      <c r="N12" s="150">
        <v>45809</v>
      </c>
      <c r="O12" s="151">
        <v>1689.34</v>
      </c>
      <c r="R12" s="150">
        <v>45809</v>
      </c>
      <c r="S12" s="153">
        <v>254.28</v>
      </c>
      <c r="V12" s="150">
        <v>45809</v>
      </c>
      <c r="W12" s="151">
        <v>5296.18</v>
      </c>
    </row>
    <row r="13" spans="2:23" x14ac:dyDescent="0.25">
      <c r="B13" s="150">
        <v>45778</v>
      </c>
      <c r="C13" s="151">
        <v>1539.14</v>
      </c>
      <c r="D13" s="73"/>
      <c r="E13" s="40"/>
      <c r="F13" s="148">
        <v>45778</v>
      </c>
      <c r="G13" s="115">
        <v>270.52999999999997</v>
      </c>
      <c r="J13" s="150">
        <v>45778</v>
      </c>
      <c r="K13" s="151">
        <v>3315.93</v>
      </c>
      <c r="N13" s="150">
        <v>45778</v>
      </c>
      <c r="O13" s="151">
        <v>1599.43</v>
      </c>
      <c r="R13" s="150">
        <v>45778</v>
      </c>
      <c r="S13" s="153">
        <v>238.69</v>
      </c>
      <c r="V13" s="150">
        <v>45778</v>
      </c>
      <c r="W13" s="151">
        <v>5049.05</v>
      </c>
    </row>
    <row r="14" spans="2:23" x14ac:dyDescent="0.25">
      <c r="B14" s="150">
        <v>45748</v>
      </c>
      <c r="C14" s="151">
        <v>1456.98</v>
      </c>
      <c r="D14" s="73"/>
      <c r="E14" s="40"/>
      <c r="F14" s="148">
        <v>45748</v>
      </c>
      <c r="G14" s="115">
        <v>265.19</v>
      </c>
      <c r="J14" s="150">
        <v>45748</v>
      </c>
      <c r="K14" s="151">
        <v>3319.89</v>
      </c>
      <c r="N14" s="150">
        <v>45748</v>
      </c>
      <c r="O14" s="151">
        <v>1531.9</v>
      </c>
      <c r="R14" s="150">
        <v>45748</v>
      </c>
      <c r="S14" s="153">
        <v>230.88</v>
      </c>
      <c r="V14" s="150">
        <v>45748</v>
      </c>
      <c r="W14" s="151">
        <v>4527.6099999999997</v>
      </c>
    </row>
    <row r="15" spans="2:23" x14ac:dyDescent="0.25">
      <c r="B15" s="150">
        <v>45717</v>
      </c>
      <c r="C15" s="151">
        <v>1525.5</v>
      </c>
      <c r="D15" s="73"/>
      <c r="E15" s="40"/>
      <c r="F15" s="148">
        <v>45717</v>
      </c>
      <c r="G15" s="115">
        <v>255.89</v>
      </c>
      <c r="J15" s="150">
        <v>45717</v>
      </c>
      <c r="K15" s="151">
        <v>3158.13</v>
      </c>
      <c r="N15" s="150">
        <v>45717</v>
      </c>
      <c r="O15" s="151">
        <v>1538.58</v>
      </c>
      <c r="R15" s="150">
        <v>45717</v>
      </c>
      <c r="S15" s="153">
        <v>250.72</v>
      </c>
      <c r="V15" s="150">
        <v>45717</v>
      </c>
      <c r="W15" s="151">
        <v>4433.68</v>
      </c>
    </row>
    <row r="16" spans="2:23" x14ac:dyDescent="0.25">
      <c r="B16" s="150">
        <v>45689</v>
      </c>
      <c r="C16" s="151">
        <v>1639.19</v>
      </c>
      <c r="D16" s="73"/>
      <c r="E16" s="40"/>
      <c r="F16" s="148">
        <v>45689</v>
      </c>
      <c r="G16" s="115">
        <v>241.9</v>
      </c>
      <c r="J16" s="150">
        <v>45689</v>
      </c>
      <c r="K16" s="151">
        <v>3323.18</v>
      </c>
      <c r="N16" s="150">
        <v>45689</v>
      </c>
      <c r="O16" s="151">
        <v>1521.72</v>
      </c>
      <c r="R16" s="150">
        <v>45689</v>
      </c>
      <c r="S16" s="153">
        <v>265.44</v>
      </c>
      <c r="V16" s="150">
        <v>45689</v>
      </c>
      <c r="W16" s="151">
        <v>4606.04</v>
      </c>
    </row>
    <row r="17" spans="2:27" x14ac:dyDescent="0.25">
      <c r="B17" s="150">
        <v>45658</v>
      </c>
      <c r="C17" s="151">
        <v>1825.77</v>
      </c>
      <c r="D17" s="73"/>
      <c r="E17" s="40"/>
      <c r="F17" s="148">
        <v>45658</v>
      </c>
      <c r="G17" s="115">
        <v>256.27999999999997</v>
      </c>
      <c r="J17" s="150">
        <v>45658</v>
      </c>
      <c r="K17" s="151">
        <v>3151.46</v>
      </c>
      <c r="N17" s="150">
        <v>45658</v>
      </c>
      <c r="O17" s="151">
        <v>1667.03</v>
      </c>
      <c r="R17" s="150">
        <v>45658</v>
      </c>
      <c r="S17" s="153">
        <v>298.19</v>
      </c>
      <c r="V17" s="150">
        <v>45658</v>
      </c>
      <c r="W17" s="151">
        <v>5838.21</v>
      </c>
    </row>
    <row r="18" spans="2:27" x14ac:dyDescent="0.25">
      <c r="B18" s="150">
        <v>45627</v>
      </c>
      <c r="C18" s="151">
        <v>1825.96</v>
      </c>
      <c r="D18" s="73"/>
      <c r="E18" s="40"/>
      <c r="F18" s="148">
        <v>45627</v>
      </c>
      <c r="G18" s="115">
        <v>257.45</v>
      </c>
      <c r="J18" s="150">
        <v>45627</v>
      </c>
      <c r="K18" s="151">
        <v>3009.57</v>
      </c>
      <c r="N18" s="150">
        <v>45627</v>
      </c>
      <c r="O18" s="151">
        <v>1833.88</v>
      </c>
      <c r="R18" s="150">
        <v>45627</v>
      </c>
      <c r="S18" s="153">
        <v>282.95</v>
      </c>
      <c r="V18" s="150">
        <v>45627</v>
      </c>
      <c r="W18" s="151">
        <v>5514.18</v>
      </c>
    </row>
    <row r="19" spans="2:27" x14ac:dyDescent="0.25">
      <c r="B19" s="150">
        <v>45597</v>
      </c>
      <c r="C19" s="151">
        <v>1804.45</v>
      </c>
      <c r="D19" s="73"/>
      <c r="E19" s="40"/>
      <c r="F19" s="148">
        <v>45597</v>
      </c>
      <c r="G19" s="115">
        <v>262.32</v>
      </c>
      <c r="J19" s="150">
        <v>45597</v>
      </c>
      <c r="K19" s="151">
        <v>2922.58</v>
      </c>
      <c r="N19" s="150">
        <v>45597</v>
      </c>
      <c r="O19" s="151">
        <v>1767.55</v>
      </c>
      <c r="R19" s="150">
        <v>45597</v>
      </c>
      <c r="S19" s="153">
        <v>270.83999999999997</v>
      </c>
      <c r="V19" s="150">
        <v>45597</v>
      </c>
      <c r="W19" s="151">
        <v>6093.15</v>
      </c>
    </row>
    <row r="20" spans="2:27" x14ac:dyDescent="0.25">
      <c r="B20" s="150">
        <v>45566</v>
      </c>
      <c r="C20" s="151">
        <v>1706.74</v>
      </c>
      <c r="D20" s="73"/>
      <c r="E20" s="40"/>
      <c r="F20" s="148">
        <v>45566</v>
      </c>
      <c r="G20" s="115">
        <v>263.58</v>
      </c>
      <c r="J20" s="150">
        <v>45566</v>
      </c>
      <c r="K20" s="151">
        <v>2961.5</v>
      </c>
      <c r="N20" s="150">
        <v>45566</v>
      </c>
      <c r="O20" s="151">
        <v>1689.12</v>
      </c>
      <c r="R20" s="150">
        <v>45566</v>
      </c>
      <c r="S20" s="153">
        <v>258.63</v>
      </c>
      <c r="V20" s="150">
        <v>45566</v>
      </c>
      <c r="W20" s="151">
        <v>5637.52</v>
      </c>
    </row>
    <row r="21" spans="2:27" x14ac:dyDescent="0.25">
      <c r="B21" s="150">
        <v>45536</v>
      </c>
      <c r="C21" s="151">
        <v>1801.18</v>
      </c>
      <c r="D21" s="73"/>
      <c r="E21" s="40"/>
      <c r="F21" s="148">
        <v>45536</v>
      </c>
      <c r="G21" s="115">
        <v>280.60000000000002</v>
      </c>
      <c r="J21" s="150">
        <v>45536</v>
      </c>
      <c r="K21" s="151">
        <v>2880.11</v>
      </c>
      <c r="N21" s="150">
        <v>45536</v>
      </c>
      <c r="O21" s="151">
        <v>1706.68</v>
      </c>
      <c r="R21" s="150">
        <v>45536</v>
      </c>
      <c r="S21" s="153">
        <v>253.78</v>
      </c>
      <c r="V21" s="150">
        <v>45536</v>
      </c>
      <c r="W21" s="151">
        <v>6143.52</v>
      </c>
      <c r="AA21" s="73"/>
    </row>
    <row r="22" spans="2:27" x14ac:dyDescent="0.25">
      <c r="B22" s="150">
        <v>45505</v>
      </c>
      <c r="C22" s="151">
        <v>1866.58</v>
      </c>
      <c r="D22" s="73"/>
      <c r="E22" s="40"/>
      <c r="F22" s="148">
        <v>45505</v>
      </c>
      <c r="G22" s="115">
        <v>273.81</v>
      </c>
      <c r="J22" s="150">
        <v>45505</v>
      </c>
      <c r="K22" s="151">
        <v>2694.81</v>
      </c>
      <c r="N22" s="150">
        <v>45505</v>
      </c>
      <c r="O22" s="151">
        <v>1665.96</v>
      </c>
      <c r="R22" s="150">
        <v>45505</v>
      </c>
      <c r="S22" s="153">
        <v>252.35</v>
      </c>
      <c r="V22" s="150">
        <v>45505</v>
      </c>
      <c r="W22" s="151">
        <v>6056.65</v>
      </c>
      <c r="AA22" s="73"/>
    </row>
    <row r="23" spans="2:27" x14ac:dyDescent="0.25">
      <c r="B23" s="150">
        <v>45474</v>
      </c>
      <c r="C23" s="151">
        <v>1794.12</v>
      </c>
      <c r="D23" s="73"/>
      <c r="E23" s="40"/>
      <c r="F23" s="148">
        <v>45474</v>
      </c>
      <c r="G23" s="115">
        <v>270.26</v>
      </c>
      <c r="J23" s="150">
        <v>45474</v>
      </c>
      <c r="K23" s="151">
        <v>2871.38</v>
      </c>
      <c r="N23" s="150">
        <v>45474</v>
      </c>
      <c r="O23" s="151">
        <v>1560.82</v>
      </c>
      <c r="R23" s="150">
        <v>45474</v>
      </c>
      <c r="S23" s="153">
        <v>244.66</v>
      </c>
      <c r="V23" s="150">
        <v>45474</v>
      </c>
      <c r="W23" s="151">
        <v>5566.79</v>
      </c>
      <c r="AA23" s="73"/>
    </row>
    <row r="24" spans="2:27" x14ac:dyDescent="0.25">
      <c r="B24" s="150">
        <v>45444</v>
      </c>
      <c r="C24" s="151">
        <v>1504.58</v>
      </c>
      <c r="D24" s="73"/>
      <c r="E24" s="40"/>
      <c r="F24" s="148">
        <v>45444</v>
      </c>
      <c r="G24" s="115">
        <v>260.3</v>
      </c>
      <c r="J24" s="150">
        <v>45444</v>
      </c>
      <c r="K24" s="151">
        <v>3049.11</v>
      </c>
      <c r="N24" s="150">
        <v>45444</v>
      </c>
      <c r="O24" s="151">
        <v>1376.38</v>
      </c>
      <c r="R24" s="150">
        <v>45444</v>
      </c>
      <c r="S24" s="153">
        <v>241.31</v>
      </c>
      <c r="V24" s="150">
        <v>45444</v>
      </c>
      <c r="W24" s="151">
        <v>5298.1</v>
      </c>
      <c r="AA24" s="73"/>
    </row>
    <row r="25" spans="2:27" x14ac:dyDescent="0.25">
      <c r="B25" s="150">
        <v>45413</v>
      </c>
      <c r="C25" s="151">
        <v>1351.08</v>
      </c>
      <c r="D25" s="73"/>
      <c r="E25" s="40"/>
      <c r="F25" s="148">
        <v>45413</v>
      </c>
      <c r="G25" s="115">
        <v>243.73</v>
      </c>
      <c r="J25" s="150">
        <v>45413</v>
      </c>
      <c r="K25" s="151">
        <v>2928.52</v>
      </c>
      <c r="N25" s="150">
        <v>45413</v>
      </c>
      <c r="O25" s="151">
        <v>1248.5999999999999</v>
      </c>
      <c r="R25" s="150">
        <v>45413</v>
      </c>
      <c r="S25" s="153">
        <v>205.38</v>
      </c>
      <c r="V25" s="150">
        <v>45413</v>
      </c>
      <c r="W25" s="151">
        <v>4585.08</v>
      </c>
      <c r="AA25" s="73"/>
    </row>
    <row r="26" spans="2:27" x14ac:dyDescent="0.25">
      <c r="B26" s="150">
        <v>45383</v>
      </c>
      <c r="C26" s="151">
        <v>1337.43</v>
      </c>
      <c r="D26" s="73"/>
      <c r="E26" s="40"/>
      <c r="F26" s="148">
        <v>45383</v>
      </c>
      <c r="G26" s="115">
        <v>243.52</v>
      </c>
      <c r="J26" s="150">
        <v>45383</v>
      </c>
      <c r="K26" s="151">
        <v>3088.9</v>
      </c>
      <c r="N26" s="150">
        <v>45383</v>
      </c>
      <c r="O26" s="151">
        <v>1271.6099999999999</v>
      </c>
      <c r="R26" s="150">
        <v>45383</v>
      </c>
      <c r="S26" s="153">
        <v>216.73</v>
      </c>
      <c r="V26" s="150">
        <v>45383</v>
      </c>
      <c r="W26" s="151">
        <v>4589.47</v>
      </c>
      <c r="AA26" s="73"/>
    </row>
    <row r="27" spans="2:27" x14ac:dyDescent="0.25">
      <c r="B27" s="150">
        <v>45352</v>
      </c>
      <c r="C27" s="151">
        <v>1410.39</v>
      </c>
      <c r="D27" s="73"/>
      <c r="E27" s="40"/>
      <c r="F27" s="148">
        <v>45352</v>
      </c>
      <c r="G27" s="115">
        <v>240.7</v>
      </c>
      <c r="J27" s="150">
        <v>45352</v>
      </c>
      <c r="K27" s="151">
        <v>3046.73</v>
      </c>
      <c r="N27" s="150">
        <v>45352</v>
      </c>
      <c r="O27" s="151">
        <v>1436.26</v>
      </c>
      <c r="R27" s="150">
        <v>45352</v>
      </c>
      <c r="S27" s="153">
        <v>225.02</v>
      </c>
      <c r="V27" s="150">
        <v>45352</v>
      </c>
      <c r="W27" s="151">
        <v>4815.7</v>
      </c>
      <c r="AA27" s="73"/>
    </row>
    <row r="28" spans="2:27" x14ac:dyDescent="0.25">
      <c r="B28" s="150">
        <v>45323</v>
      </c>
      <c r="C28" s="151">
        <v>1575.95</v>
      </c>
      <c r="D28" s="73"/>
      <c r="E28" s="40"/>
      <c r="F28" s="148">
        <v>45323</v>
      </c>
      <c r="G28" s="115">
        <v>236.83</v>
      </c>
      <c r="J28" s="150">
        <v>45323</v>
      </c>
      <c r="K28" s="151">
        <v>2948.37</v>
      </c>
      <c r="N28" s="150">
        <v>45323</v>
      </c>
      <c r="O28" s="151">
        <v>1548.2</v>
      </c>
      <c r="R28" s="150">
        <v>45323</v>
      </c>
      <c r="S28" s="153">
        <v>243.07</v>
      </c>
      <c r="V28" s="150">
        <v>45323</v>
      </c>
      <c r="W28" s="151">
        <v>5169.1499999999996</v>
      </c>
      <c r="AA28" s="73"/>
    </row>
    <row r="29" spans="2:27" x14ac:dyDescent="0.25">
      <c r="B29" s="150">
        <v>45292</v>
      </c>
      <c r="C29" s="151">
        <v>1563.71</v>
      </c>
      <c r="D29" s="73"/>
      <c r="E29" s="40"/>
      <c r="F29" s="148">
        <v>45292</v>
      </c>
      <c r="G29" s="115">
        <v>233.18</v>
      </c>
      <c r="J29" s="150">
        <v>45292</v>
      </c>
      <c r="K29" s="151">
        <v>2960.65</v>
      </c>
      <c r="N29" s="150">
        <v>45292</v>
      </c>
      <c r="O29" s="151">
        <v>1466.46</v>
      </c>
      <c r="R29" s="150">
        <v>45292</v>
      </c>
      <c r="S29" s="153">
        <v>224.11</v>
      </c>
      <c r="V29" s="150">
        <v>45292</v>
      </c>
      <c r="W29" s="151">
        <v>5313.18</v>
      </c>
      <c r="AA29" s="73"/>
    </row>
    <row r="30" spans="2:27" x14ac:dyDescent="0.25">
      <c r="B30" s="150">
        <v>45261</v>
      </c>
      <c r="C30" s="151">
        <v>1452.62</v>
      </c>
      <c r="D30" s="73"/>
      <c r="E30" s="40"/>
      <c r="F30" s="148">
        <v>45261</v>
      </c>
      <c r="G30" s="115">
        <v>235.26</v>
      </c>
      <c r="J30" s="150">
        <v>45261</v>
      </c>
      <c r="K30" s="151">
        <v>3025.25</v>
      </c>
      <c r="N30" s="150">
        <v>45261</v>
      </c>
      <c r="O30" s="151">
        <v>1353.75</v>
      </c>
      <c r="R30" s="150">
        <v>45261</v>
      </c>
      <c r="S30" s="153">
        <v>220.43</v>
      </c>
      <c r="V30" s="150">
        <v>45261</v>
      </c>
      <c r="W30" s="151">
        <v>6138.55</v>
      </c>
      <c r="AA30" s="73"/>
    </row>
    <row r="31" spans="2:27" x14ac:dyDescent="0.25">
      <c r="B31" s="150">
        <v>45231</v>
      </c>
      <c r="C31" s="151">
        <v>1370</v>
      </c>
      <c r="D31" s="73"/>
      <c r="E31" s="40"/>
      <c r="F31" s="148">
        <v>45231</v>
      </c>
      <c r="G31" s="115">
        <v>216.48</v>
      </c>
      <c r="J31" s="150">
        <v>45231</v>
      </c>
      <c r="K31" s="151">
        <v>3059.57</v>
      </c>
      <c r="N31" s="150">
        <v>45231</v>
      </c>
      <c r="O31" s="151">
        <v>1238.1400000000001</v>
      </c>
      <c r="R31" s="150">
        <v>45231</v>
      </c>
      <c r="S31" s="153">
        <v>193.18</v>
      </c>
      <c r="V31" s="150">
        <v>45231</v>
      </c>
      <c r="W31" s="151">
        <v>5399.14</v>
      </c>
      <c r="AA31" s="73"/>
    </row>
    <row r="32" spans="2:27" x14ac:dyDescent="0.25">
      <c r="B32" s="150">
        <v>45200</v>
      </c>
      <c r="C32" s="151">
        <v>1288.33</v>
      </c>
      <c r="D32" s="73"/>
      <c r="E32" s="40"/>
      <c r="F32" s="148">
        <v>45200</v>
      </c>
      <c r="G32" s="115">
        <v>205.29</v>
      </c>
      <c r="J32" s="150">
        <v>45200</v>
      </c>
      <c r="K32" s="151">
        <v>3178.25</v>
      </c>
      <c r="N32" s="150">
        <v>45200</v>
      </c>
      <c r="O32" s="151">
        <v>1178.22</v>
      </c>
      <c r="R32" s="150">
        <v>45200</v>
      </c>
      <c r="S32" s="153">
        <v>178.57</v>
      </c>
      <c r="V32" s="150">
        <v>45200</v>
      </c>
      <c r="W32" s="151">
        <v>4934.67</v>
      </c>
      <c r="AA32" s="73"/>
    </row>
    <row r="33" spans="2:27" x14ac:dyDescent="0.25">
      <c r="B33" s="150">
        <v>45170</v>
      </c>
      <c r="C33" s="151">
        <v>1334.19</v>
      </c>
      <c r="D33" s="73"/>
      <c r="F33" s="148">
        <v>45170</v>
      </c>
      <c r="G33" s="115">
        <v>210.94</v>
      </c>
      <c r="J33" s="150">
        <v>45170</v>
      </c>
      <c r="K33" s="151">
        <v>3118.2</v>
      </c>
      <c r="N33" s="150">
        <v>45170</v>
      </c>
      <c r="O33" s="151">
        <v>1129.3800000000001</v>
      </c>
      <c r="R33" s="150">
        <v>45170</v>
      </c>
      <c r="S33" s="153">
        <v>189.91</v>
      </c>
      <c r="V33" s="150">
        <v>45170</v>
      </c>
      <c r="W33" s="151">
        <v>5060.76</v>
      </c>
      <c r="AA33" s="73"/>
    </row>
    <row r="34" spans="2:27" x14ac:dyDescent="0.25">
      <c r="B34" s="150">
        <v>45139</v>
      </c>
      <c r="C34" s="151">
        <v>1334.19</v>
      </c>
      <c r="D34" s="73"/>
      <c r="E34" s="40"/>
      <c r="F34" s="148">
        <v>45139</v>
      </c>
      <c r="G34" s="115">
        <v>207.56</v>
      </c>
      <c r="J34" s="150">
        <v>45139</v>
      </c>
      <c r="K34" s="151">
        <v>3277.78</v>
      </c>
      <c r="N34" s="150">
        <v>45139</v>
      </c>
      <c r="O34" s="151">
        <v>1072.08</v>
      </c>
      <c r="R34" s="150">
        <v>45139</v>
      </c>
      <c r="S34" s="153">
        <v>191.01</v>
      </c>
      <c r="V34" s="150">
        <v>45139</v>
      </c>
      <c r="W34" s="151">
        <v>5044.78</v>
      </c>
      <c r="AA34" s="73"/>
    </row>
    <row r="35" spans="2:27" x14ac:dyDescent="0.25">
      <c r="B35" s="150">
        <v>45108</v>
      </c>
      <c r="C35" s="151">
        <v>1260.06</v>
      </c>
      <c r="D35" s="73"/>
      <c r="E35" s="40"/>
      <c r="F35" s="148">
        <v>45108</v>
      </c>
      <c r="G35" s="115">
        <v>211.24</v>
      </c>
      <c r="J35" s="150">
        <v>45108</v>
      </c>
      <c r="K35" s="151">
        <v>3137.39</v>
      </c>
      <c r="N35" s="150">
        <v>45108</v>
      </c>
      <c r="O35" s="151">
        <v>1021.36</v>
      </c>
      <c r="R35" s="150">
        <v>45108</v>
      </c>
      <c r="S35" s="153">
        <v>189.44</v>
      </c>
      <c r="V35" s="150">
        <v>45108</v>
      </c>
      <c r="W35" s="151">
        <v>4751.66</v>
      </c>
      <c r="AA35" s="73"/>
    </row>
    <row r="36" spans="2:27" x14ac:dyDescent="0.25">
      <c r="B36" s="150">
        <v>45078</v>
      </c>
      <c r="C36" s="151">
        <v>1241.29</v>
      </c>
      <c r="D36" s="73"/>
      <c r="E36" s="40"/>
      <c r="F36" s="148">
        <v>45078</v>
      </c>
      <c r="G36" s="115">
        <v>205</v>
      </c>
      <c r="J36" s="150">
        <v>45078</v>
      </c>
      <c r="K36" s="151">
        <v>3248.08</v>
      </c>
      <c r="N36" s="150">
        <v>45078</v>
      </c>
      <c r="O36" s="151">
        <v>1077.24</v>
      </c>
      <c r="R36" s="150">
        <v>45078</v>
      </c>
      <c r="S36" s="153">
        <v>182.01</v>
      </c>
      <c r="V36" s="150">
        <v>45078</v>
      </c>
      <c r="W36" s="151">
        <v>5008.9799999999996</v>
      </c>
      <c r="AA36" s="73"/>
    </row>
    <row r="37" spans="2:27" x14ac:dyDescent="0.25">
      <c r="B37" s="150">
        <v>45047</v>
      </c>
      <c r="C37" s="151">
        <v>1209.05</v>
      </c>
      <c r="D37" s="73"/>
      <c r="E37" s="40"/>
      <c r="F37" s="148">
        <v>45047</v>
      </c>
      <c r="G37" s="115">
        <v>198.07</v>
      </c>
      <c r="J37" s="150">
        <v>45047</v>
      </c>
      <c r="K37" s="151">
        <v>3532.88</v>
      </c>
      <c r="N37" s="150">
        <v>45047</v>
      </c>
      <c r="O37" s="151">
        <v>1038.3800000000001</v>
      </c>
      <c r="R37" s="150">
        <v>45047</v>
      </c>
      <c r="S37" s="153">
        <v>188.79</v>
      </c>
      <c r="V37" s="150">
        <v>45047</v>
      </c>
      <c r="W37" s="151">
        <v>4817.38</v>
      </c>
      <c r="AA37" s="73"/>
    </row>
    <row r="38" spans="2:27" x14ac:dyDescent="0.25">
      <c r="B38" s="150">
        <v>45017</v>
      </c>
      <c r="C38" s="151">
        <v>1148.93</v>
      </c>
      <c r="D38" s="73"/>
      <c r="E38" s="40"/>
      <c r="F38" s="148">
        <v>45017</v>
      </c>
      <c r="G38" s="115">
        <v>191.86</v>
      </c>
      <c r="J38" s="150">
        <v>45017</v>
      </c>
      <c r="K38" s="151">
        <v>3578.64</v>
      </c>
      <c r="N38" s="150">
        <v>45017</v>
      </c>
      <c r="O38" s="153">
        <v>964.93</v>
      </c>
      <c r="R38" s="150">
        <v>45017</v>
      </c>
      <c r="S38" s="153">
        <v>180.07</v>
      </c>
      <c r="V38" s="150">
        <v>45017</v>
      </c>
      <c r="W38" s="151">
        <v>4259.3999999999996</v>
      </c>
      <c r="AA38" s="73"/>
    </row>
    <row r="39" spans="2:27" x14ac:dyDescent="0.25">
      <c r="B39" s="150">
        <v>44986</v>
      </c>
      <c r="C39" s="151">
        <v>1309.6099999999999</v>
      </c>
      <c r="D39" s="73"/>
      <c r="E39" s="40"/>
      <c r="F39" s="148">
        <v>44986</v>
      </c>
      <c r="G39" s="115">
        <v>184.47</v>
      </c>
      <c r="J39" s="150">
        <v>44986</v>
      </c>
      <c r="K39" s="151">
        <v>3840.43</v>
      </c>
      <c r="N39" s="150">
        <v>44986</v>
      </c>
      <c r="O39" s="153">
        <v>967.57</v>
      </c>
      <c r="R39" s="150">
        <v>44986</v>
      </c>
      <c r="S39" s="153">
        <v>170.83</v>
      </c>
      <c r="V39" s="150">
        <v>44986</v>
      </c>
      <c r="W39" s="151">
        <v>4587.28</v>
      </c>
      <c r="AA39" s="73"/>
    </row>
    <row r="40" spans="2:27" x14ac:dyDescent="0.25">
      <c r="B40" s="150">
        <v>44958</v>
      </c>
      <c r="C40" s="151">
        <v>1364.27</v>
      </c>
      <c r="D40" s="73"/>
      <c r="E40" s="40"/>
      <c r="F40" s="148">
        <v>44958</v>
      </c>
      <c r="G40" s="115">
        <v>184.67</v>
      </c>
      <c r="J40" s="150">
        <v>44958</v>
      </c>
      <c r="K40" s="151">
        <v>3635.24</v>
      </c>
      <c r="N40" s="150">
        <v>44958</v>
      </c>
      <c r="O40" s="153">
        <v>960.75</v>
      </c>
      <c r="R40" s="150">
        <v>44958</v>
      </c>
      <c r="S40" s="153">
        <v>181.02</v>
      </c>
      <c r="V40" s="150">
        <v>44958</v>
      </c>
      <c r="W40" s="151">
        <v>4551.04</v>
      </c>
      <c r="AA40" s="73"/>
    </row>
    <row r="41" spans="2:27" x14ac:dyDescent="0.25">
      <c r="B41" s="150">
        <v>44927</v>
      </c>
      <c r="C41" s="151">
        <v>1406.64</v>
      </c>
      <c r="D41" s="73"/>
      <c r="E41" s="40"/>
      <c r="F41" s="148">
        <v>44927</v>
      </c>
      <c r="G41" s="115">
        <v>188.91</v>
      </c>
      <c r="J41" s="150">
        <v>44927</v>
      </c>
      <c r="K41" s="151">
        <v>3583.05</v>
      </c>
      <c r="N41" s="150">
        <v>44927</v>
      </c>
      <c r="O41" s="151">
        <v>1000.51</v>
      </c>
      <c r="R41" s="150">
        <v>44927</v>
      </c>
      <c r="S41" s="153">
        <v>186.54</v>
      </c>
      <c r="V41" s="150">
        <v>44927</v>
      </c>
      <c r="W41" s="151">
        <v>4210.34</v>
      </c>
      <c r="AA41" s="73"/>
    </row>
    <row r="42" spans="2:27" x14ac:dyDescent="0.25">
      <c r="B42" s="150">
        <v>44896</v>
      </c>
      <c r="C42" s="151">
        <v>1383.21</v>
      </c>
      <c r="D42" s="73"/>
      <c r="E42" s="40"/>
      <c r="F42" s="148">
        <v>44896</v>
      </c>
      <c r="G42" s="115">
        <v>193.04</v>
      </c>
      <c r="J42" s="150">
        <v>44896</v>
      </c>
      <c r="K42" s="151">
        <v>3467.68</v>
      </c>
      <c r="N42" s="150">
        <v>44896</v>
      </c>
      <c r="O42" s="153">
        <v>918.29</v>
      </c>
      <c r="R42" s="150">
        <v>44896</v>
      </c>
      <c r="S42" s="153">
        <v>183.24</v>
      </c>
      <c r="V42" s="150">
        <v>44896</v>
      </c>
      <c r="W42" s="151">
        <v>4188.3900000000003</v>
      </c>
      <c r="AA42" s="73"/>
    </row>
    <row r="43" spans="2:27" x14ac:dyDescent="0.25">
      <c r="B43" s="150">
        <v>44866</v>
      </c>
      <c r="C43" s="151">
        <v>1499.46</v>
      </c>
      <c r="D43" s="73"/>
      <c r="E43" s="40"/>
      <c r="F43" s="148">
        <v>44866</v>
      </c>
      <c r="G43" s="115">
        <v>199.95</v>
      </c>
      <c r="J43" s="150">
        <v>44866</v>
      </c>
      <c r="K43" s="151">
        <v>3687.96</v>
      </c>
      <c r="N43" s="150">
        <v>44866</v>
      </c>
      <c r="O43" s="153">
        <v>990.31</v>
      </c>
      <c r="R43" s="150">
        <v>44866</v>
      </c>
      <c r="S43" s="153">
        <v>189.84</v>
      </c>
      <c r="V43" s="150">
        <v>44866</v>
      </c>
      <c r="W43" s="151">
        <v>4642.3599999999997</v>
      </c>
      <c r="AA43" s="73"/>
    </row>
    <row r="44" spans="2:27" x14ac:dyDescent="0.25">
      <c r="B44" s="150">
        <v>44835</v>
      </c>
      <c r="C44" s="151">
        <v>1410.22</v>
      </c>
      <c r="D44" s="73"/>
      <c r="E44" s="40"/>
      <c r="F44" s="148">
        <v>44835</v>
      </c>
      <c r="G44" s="115">
        <v>191.01</v>
      </c>
      <c r="J44" s="150">
        <v>44835</v>
      </c>
      <c r="K44" s="152">
        <v>4152.1400000000003</v>
      </c>
      <c r="N44" s="150">
        <v>44835</v>
      </c>
      <c r="O44" s="153">
        <v>919.93</v>
      </c>
      <c r="R44" s="150">
        <v>44835</v>
      </c>
      <c r="S44" s="153">
        <v>180.35</v>
      </c>
      <c r="V44" s="150">
        <v>44835</v>
      </c>
      <c r="W44" s="151">
        <v>4547.66</v>
      </c>
      <c r="AA44" s="73"/>
    </row>
    <row r="45" spans="2:27" x14ac:dyDescent="0.25">
      <c r="B45" s="150">
        <v>44805</v>
      </c>
      <c r="C45" s="151">
        <v>1282.3</v>
      </c>
      <c r="D45" s="73"/>
      <c r="E45" s="40"/>
      <c r="F45" s="148">
        <v>44805</v>
      </c>
      <c r="G45" s="115">
        <v>181.89</v>
      </c>
      <c r="J45" s="150">
        <v>44805</v>
      </c>
      <c r="K45" s="152">
        <v>4311.58</v>
      </c>
      <c r="N45" s="150">
        <v>44805</v>
      </c>
      <c r="O45" s="153">
        <v>815.63</v>
      </c>
      <c r="R45" s="150">
        <v>44805</v>
      </c>
      <c r="S45" s="153">
        <v>183.94</v>
      </c>
      <c r="V45" s="150">
        <v>44805</v>
      </c>
      <c r="W45" s="151">
        <v>4277.1000000000004</v>
      </c>
      <c r="AA45" s="73"/>
    </row>
    <row r="46" spans="2:27" x14ac:dyDescent="0.25">
      <c r="B46" s="150">
        <v>44774</v>
      </c>
      <c r="C46" s="151">
        <v>1354.42</v>
      </c>
      <c r="D46" s="73"/>
      <c r="E46" s="40"/>
      <c r="F46" s="148">
        <v>44774</v>
      </c>
      <c r="G46" s="115">
        <v>188.56</v>
      </c>
      <c r="J46" s="150">
        <v>44774</v>
      </c>
      <c r="K46" s="152">
        <v>4041.5</v>
      </c>
      <c r="N46" s="150">
        <v>44774</v>
      </c>
      <c r="O46" s="153">
        <v>821.41</v>
      </c>
      <c r="R46" s="150">
        <v>44774</v>
      </c>
      <c r="S46" s="153">
        <v>192.94</v>
      </c>
      <c r="V46" s="150">
        <v>44774</v>
      </c>
      <c r="W46" s="151">
        <v>4453.49</v>
      </c>
      <c r="AA46" s="73"/>
    </row>
    <row r="47" spans="2:27" x14ac:dyDescent="0.25">
      <c r="B47" s="150">
        <v>44743</v>
      </c>
      <c r="C47" s="151">
        <v>1405.91</v>
      </c>
      <c r="D47" s="73"/>
      <c r="E47" s="40"/>
      <c r="F47" s="148">
        <v>44743</v>
      </c>
      <c r="G47" s="115">
        <v>181.81</v>
      </c>
      <c r="J47" s="150">
        <v>44743</v>
      </c>
      <c r="K47" s="151">
        <v>3766.58</v>
      </c>
      <c r="N47" s="150">
        <v>44743</v>
      </c>
      <c r="O47" s="153">
        <v>829.67</v>
      </c>
      <c r="R47" s="150">
        <v>44743</v>
      </c>
      <c r="S47" s="153">
        <v>197.68</v>
      </c>
      <c r="V47" s="150">
        <v>44743</v>
      </c>
      <c r="W47" s="151">
        <v>4538.93</v>
      </c>
      <c r="AA47" s="73"/>
    </row>
    <row r="48" spans="2:27" x14ac:dyDescent="0.25">
      <c r="B48" s="150">
        <v>44713</v>
      </c>
      <c r="C48" s="151">
        <v>1326.25</v>
      </c>
      <c r="D48" s="73"/>
      <c r="E48" s="40"/>
      <c r="F48" s="148">
        <v>44713</v>
      </c>
      <c r="G48" s="115">
        <v>167.26</v>
      </c>
      <c r="J48" s="150">
        <v>44713</v>
      </c>
      <c r="K48" s="151">
        <v>4053.6</v>
      </c>
      <c r="N48" s="150">
        <v>44713</v>
      </c>
      <c r="O48" s="153">
        <v>841.96</v>
      </c>
      <c r="R48" s="150">
        <v>44713</v>
      </c>
      <c r="S48" s="153">
        <v>194.11</v>
      </c>
      <c r="V48" s="150">
        <v>44713</v>
      </c>
      <c r="W48" s="151">
        <v>3814.26</v>
      </c>
      <c r="AA48" s="73"/>
    </row>
    <row r="49" spans="2:27" x14ac:dyDescent="0.25">
      <c r="B49" s="150">
        <v>44682</v>
      </c>
      <c r="C49" s="151">
        <v>1364.09</v>
      </c>
      <c r="D49" s="73"/>
      <c r="E49" s="40"/>
      <c r="F49" s="148">
        <v>44682</v>
      </c>
      <c r="G49" s="115">
        <v>175.44</v>
      </c>
      <c r="J49" s="150">
        <v>44682</v>
      </c>
      <c r="K49" s="151">
        <v>3886.5</v>
      </c>
      <c r="N49" s="150">
        <v>44682</v>
      </c>
      <c r="O49" s="153">
        <v>900.35</v>
      </c>
      <c r="R49" s="150">
        <v>44682</v>
      </c>
      <c r="S49" s="153">
        <v>223.04</v>
      </c>
      <c r="V49" s="150">
        <v>44682</v>
      </c>
      <c r="W49" s="151">
        <v>4051.27</v>
      </c>
      <c r="AA49" s="73"/>
    </row>
    <row r="50" spans="2:27" x14ac:dyDescent="0.25">
      <c r="B50" s="150">
        <v>44652</v>
      </c>
      <c r="C50" s="151">
        <v>1407.2</v>
      </c>
      <c r="D50" s="73"/>
      <c r="E50" s="40"/>
      <c r="F50" s="148">
        <v>44652</v>
      </c>
      <c r="G50" s="115">
        <v>180.86</v>
      </c>
      <c r="J50" s="150">
        <v>44652</v>
      </c>
      <c r="K50" s="151">
        <v>3975.03</v>
      </c>
      <c r="N50" s="150">
        <v>44652</v>
      </c>
      <c r="O50" s="153">
        <v>933.66</v>
      </c>
      <c r="R50" s="150">
        <v>44652</v>
      </c>
      <c r="S50" s="153">
        <v>237.38</v>
      </c>
      <c r="V50" s="150">
        <v>44652</v>
      </c>
      <c r="W50" s="151">
        <v>4608.76</v>
      </c>
      <c r="AA50" s="73"/>
    </row>
    <row r="51" spans="2:27" x14ac:dyDescent="0.25">
      <c r="B51" s="150">
        <v>44621</v>
      </c>
      <c r="C51" s="151">
        <v>1711.79</v>
      </c>
      <c r="D51" s="73"/>
      <c r="E51" s="40"/>
      <c r="F51" s="148">
        <v>44621</v>
      </c>
      <c r="G51" s="115">
        <v>184.1</v>
      </c>
      <c r="J51" s="150">
        <v>44621</v>
      </c>
      <c r="K51" s="151">
        <v>3366.89</v>
      </c>
      <c r="N51" s="150">
        <v>44621</v>
      </c>
      <c r="O51" s="153">
        <v>990.22</v>
      </c>
      <c r="R51" s="150">
        <v>44621</v>
      </c>
      <c r="S51" s="153">
        <v>273.87</v>
      </c>
      <c r="V51" s="150">
        <v>44621</v>
      </c>
      <c r="W51" s="151">
        <v>5862.46</v>
      </c>
      <c r="AA51" s="73"/>
    </row>
    <row r="52" spans="2:27" x14ac:dyDescent="0.25">
      <c r="B52" s="150">
        <v>44593</v>
      </c>
      <c r="C52" s="151">
        <v>1540.1</v>
      </c>
      <c r="D52" s="73"/>
      <c r="E52" s="40"/>
      <c r="F52" s="148">
        <v>44593</v>
      </c>
      <c r="G52" s="115">
        <v>177.27</v>
      </c>
      <c r="J52" s="150">
        <v>44593</v>
      </c>
      <c r="K52" s="151">
        <v>3485.69</v>
      </c>
      <c r="N52" s="150">
        <v>44593</v>
      </c>
      <c r="O52" s="153">
        <v>958.9</v>
      </c>
      <c r="R52" s="150">
        <v>44593</v>
      </c>
      <c r="S52" s="153">
        <v>257.17</v>
      </c>
      <c r="V52" s="150">
        <v>44593</v>
      </c>
      <c r="W52" s="151">
        <v>5571.41</v>
      </c>
      <c r="AA52" s="73"/>
    </row>
    <row r="53" spans="2:27" x14ac:dyDescent="0.25">
      <c r="B53" s="150">
        <v>44562</v>
      </c>
      <c r="C53" s="151">
        <v>1558.6</v>
      </c>
      <c r="D53" s="73"/>
      <c r="E53" s="40"/>
      <c r="F53" s="148">
        <v>44562</v>
      </c>
      <c r="G53" s="115">
        <v>182.49</v>
      </c>
      <c r="J53" s="150">
        <v>44562</v>
      </c>
      <c r="K53" s="151">
        <v>3338.33</v>
      </c>
      <c r="N53" s="150">
        <v>44562</v>
      </c>
      <c r="O53" s="153">
        <v>935.46</v>
      </c>
      <c r="R53" s="150">
        <v>44562</v>
      </c>
      <c r="S53" s="153">
        <v>264.94</v>
      </c>
      <c r="V53" s="150">
        <v>44562</v>
      </c>
      <c r="W53" s="151">
        <v>5971.94</v>
      </c>
      <c r="AA53" s="73"/>
    </row>
    <row r="54" spans="2:27" x14ac:dyDescent="0.25">
      <c r="B54" s="150">
        <v>44531</v>
      </c>
      <c r="C54" s="151">
        <v>1694.64</v>
      </c>
      <c r="D54" s="73"/>
      <c r="E54" s="40"/>
      <c r="F54" s="148">
        <v>44531</v>
      </c>
      <c r="G54" s="115">
        <v>182.94</v>
      </c>
      <c r="J54" s="150">
        <v>44531</v>
      </c>
      <c r="K54" s="151">
        <v>3347.71</v>
      </c>
      <c r="N54" s="150">
        <v>44531</v>
      </c>
      <c r="O54" s="151">
        <v>1113.04</v>
      </c>
      <c r="R54" s="150">
        <v>44531</v>
      </c>
      <c r="S54" s="153">
        <v>330.46</v>
      </c>
      <c r="V54" s="150">
        <v>44531</v>
      </c>
      <c r="W54" s="151">
        <v>6983.07</v>
      </c>
      <c r="AA54" s="73"/>
    </row>
    <row r="55" spans="2:27" x14ac:dyDescent="0.25">
      <c r="B55" s="150">
        <v>44501</v>
      </c>
      <c r="C55" s="151">
        <v>1537.46</v>
      </c>
      <c r="D55" s="73"/>
      <c r="E55" s="40"/>
      <c r="F55" s="148">
        <v>44501</v>
      </c>
      <c r="G55" s="115">
        <v>179.19</v>
      </c>
      <c r="J55" s="150">
        <v>44501</v>
      </c>
      <c r="K55" s="151">
        <v>3376.1</v>
      </c>
      <c r="N55" s="150">
        <v>44501</v>
      </c>
      <c r="O55" s="153">
        <v>960.78</v>
      </c>
      <c r="R55" s="150">
        <v>44501</v>
      </c>
      <c r="S55" s="153">
        <v>294.38</v>
      </c>
      <c r="V55" s="150">
        <v>44501</v>
      </c>
      <c r="W55" s="151">
        <v>6485.62</v>
      </c>
      <c r="AA55" s="73"/>
    </row>
    <row r="56" spans="2:27" x14ac:dyDescent="0.25">
      <c r="B56" s="150">
        <v>44470</v>
      </c>
      <c r="C56" s="151">
        <v>1497.15</v>
      </c>
      <c r="D56" s="73"/>
      <c r="E56" s="40"/>
      <c r="F56" s="148">
        <v>44470</v>
      </c>
      <c r="G56" s="115">
        <v>186.16</v>
      </c>
      <c r="J56" s="150">
        <v>44470</v>
      </c>
      <c r="K56" s="151">
        <v>2971.5</v>
      </c>
      <c r="N56" s="150">
        <v>44470</v>
      </c>
      <c r="O56" s="153">
        <v>965.08</v>
      </c>
      <c r="R56" s="150">
        <v>44470</v>
      </c>
      <c r="S56" s="153">
        <v>298.77</v>
      </c>
      <c r="V56" s="150">
        <v>44470</v>
      </c>
      <c r="W56" s="151">
        <v>6364.29</v>
      </c>
      <c r="AA56" s="73"/>
    </row>
    <row r="57" spans="2:27" x14ac:dyDescent="0.25">
      <c r="B57" s="150">
        <v>44440</v>
      </c>
      <c r="C57" s="151">
        <v>1490.63</v>
      </c>
      <c r="D57" s="73"/>
      <c r="E57" s="40"/>
      <c r="F57" s="148">
        <v>44440</v>
      </c>
      <c r="G57" s="115">
        <v>185.24</v>
      </c>
      <c r="J57" s="150">
        <v>44440</v>
      </c>
      <c r="K57" s="151">
        <v>3018.37</v>
      </c>
      <c r="N57" s="150">
        <v>44440</v>
      </c>
      <c r="O57" s="151">
        <v>1070.9100000000001</v>
      </c>
      <c r="R57" s="150">
        <v>44440</v>
      </c>
      <c r="S57" s="153">
        <v>292.92</v>
      </c>
      <c r="V57" s="150">
        <v>44440</v>
      </c>
      <c r="W57" s="151">
        <v>5478.2</v>
      </c>
      <c r="AA57" s="73"/>
    </row>
    <row r="58" spans="2:27" x14ac:dyDescent="0.25">
      <c r="B58" s="150">
        <v>44409</v>
      </c>
      <c r="C58" s="151">
        <v>1518.43</v>
      </c>
      <c r="D58" s="73"/>
      <c r="E58" s="40"/>
      <c r="F58" s="148">
        <v>44409</v>
      </c>
      <c r="G58" s="115">
        <v>178.55</v>
      </c>
      <c r="J58" s="150">
        <v>44409</v>
      </c>
      <c r="K58" s="151">
        <v>2826.29</v>
      </c>
      <c r="N58" s="150">
        <v>44409</v>
      </c>
      <c r="O58" s="153">
        <v>989.52</v>
      </c>
      <c r="R58" s="150">
        <v>44409</v>
      </c>
      <c r="S58" s="153">
        <v>296.08999999999997</v>
      </c>
      <c r="V58" s="150">
        <v>44409</v>
      </c>
      <c r="W58" s="151">
        <v>5048.03</v>
      </c>
      <c r="AA58" s="73"/>
    </row>
    <row r="59" spans="2:27" x14ac:dyDescent="0.25">
      <c r="B59" s="150">
        <v>44378</v>
      </c>
      <c r="C59" s="151">
        <v>1433.05</v>
      </c>
      <c r="D59" s="73"/>
      <c r="E59" s="40"/>
      <c r="F59" s="148">
        <v>44378</v>
      </c>
      <c r="G59" s="115">
        <v>165.95</v>
      </c>
      <c r="J59" s="150">
        <v>44378</v>
      </c>
      <c r="K59" s="151">
        <v>3003.4</v>
      </c>
      <c r="N59" s="150">
        <v>44378</v>
      </c>
      <c r="O59" s="153">
        <v>857.83</v>
      </c>
      <c r="R59" s="150">
        <v>44378</v>
      </c>
      <c r="S59" s="153">
        <v>271.23</v>
      </c>
      <c r="V59" s="150">
        <v>44378</v>
      </c>
      <c r="W59" s="151">
        <v>4451.1899999999996</v>
      </c>
      <c r="AA59" s="73"/>
    </row>
    <row r="60" spans="2:27" x14ac:dyDescent="0.25">
      <c r="B60" s="150">
        <v>44348</v>
      </c>
      <c r="C60" s="151">
        <v>1406.63</v>
      </c>
      <c r="D60" s="73"/>
      <c r="E60" s="40"/>
      <c r="F60" s="148">
        <v>44348</v>
      </c>
      <c r="G60" s="115">
        <v>165.08</v>
      </c>
      <c r="J60" s="150">
        <v>44348</v>
      </c>
      <c r="K60" s="151">
        <v>3081.48</v>
      </c>
      <c r="N60" s="150">
        <v>44348</v>
      </c>
      <c r="O60" s="153">
        <v>818.2</v>
      </c>
      <c r="R60" s="150">
        <v>44348</v>
      </c>
      <c r="S60" s="153">
        <v>252.06</v>
      </c>
      <c r="V60" s="150">
        <v>44348</v>
      </c>
      <c r="W60" s="151">
        <v>3836.61</v>
      </c>
      <c r="AA60" s="73"/>
    </row>
    <row r="61" spans="2:27" x14ac:dyDescent="0.25">
      <c r="B61" s="150">
        <v>44317</v>
      </c>
      <c r="C61" s="151">
        <v>1240.19</v>
      </c>
      <c r="D61" s="73"/>
      <c r="E61" s="40"/>
      <c r="F61" s="148">
        <v>44317</v>
      </c>
      <c r="G61" s="115">
        <v>161.74</v>
      </c>
      <c r="J61" s="150">
        <v>44317</v>
      </c>
      <c r="K61" s="151">
        <v>3148.96</v>
      </c>
      <c r="N61" s="150">
        <v>44317</v>
      </c>
      <c r="O61" s="153">
        <v>786.34</v>
      </c>
      <c r="R61" s="150">
        <v>44317</v>
      </c>
      <c r="S61" s="153">
        <v>249.01</v>
      </c>
      <c r="V61" s="150">
        <v>44317</v>
      </c>
      <c r="W61" s="151">
        <v>3715.14</v>
      </c>
      <c r="AA61" s="73"/>
    </row>
    <row r="62" spans="2:27" x14ac:dyDescent="0.25">
      <c r="B62" s="150">
        <v>44287</v>
      </c>
      <c r="C62" s="151">
        <v>1192.26</v>
      </c>
      <c r="D62" s="73"/>
      <c r="E62" s="40"/>
      <c r="F62" s="148">
        <v>44287</v>
      </c>
      <c r="G62" s="115">
        <v>153.03</v>
      </c>
      <c r="J62" s="150">
        <v>44287</v>
      </c>
      <c r="K62" s="151">
        <v>3123.9</v>
      </c>
      <c r="N62" s="150">
        <v>44287</v>
      </c>
      <c r="O62" s="153">
        <v>747.86</v>
      </c>
      <c r="R62" s="150">
        <v>44287</v>
      </c>
      <c r="S62" s="153">
        <v>227.63</v>
      </c>
      <c r="V62" s="150">
        <v>44287</v>
      </c>
      <c r="W62" s="151">
        <v>3666</v>
      </c>
      <c r="AA62" s="73"/>
    </row>
    <row r="63" spans="2:27" x14ac:dyDescent="0.25">
      <c r="B63" s="150">
        <v>44256</v>
      </c>
      <c r="C63" s="151">
        <v>1204.32</v>
      </c>
      <c r="D63" s="73"/>
      <c r="E63" s="40"/>
      <c r="F63" s="148">
        <v>44256</v>
      </c>
      <c r="G63" s="115">
        <v>152.85</v>
      </c>
      <c r="J63" s="150">
        <v>44256</v>
      </c>
      <c r="K63" s="151">
        <v>3225.3</v>
      </c>
      <c r="N63" s="150">
        <v>44256</v>
      </c>
      <c r="O63" s="153">
        <v>803.33</v>
      </c>
      <c r="R63" s="150">
        <v>44256</v>
      </c>
      <c r="S63" s="153">
        <v>191.32</v>
      </c>
      <c r="V63" s="150">
        <v>44256</v>
      </c>
      <c r="W63" s="151">
        <v>3820.59</v>
      </c>
      <c r="AA63" s="73"/>
    </row>
  </sheetData>
  <mergeCells count="6">
    <mergeCell ref="V2:W2"/>
    <mergeCell ref="B2:C2"/>
    <mergeCell ref="F2:G2"/>
    <mergeCell ref="J2:K2"/>
    <mergeCell ref="N2:O2"/>
    <mergeCell ref="R2:S2"/>
  </mergeCells>
  <hyperlinks>
    <hyperlink ref="K63" r:id="rId1" tooltip="Tata Consultancy Services Limited ( TCS.NS) - Price History" display="https://www.digrin.com/stocks/detail/TCS.NS/price?utm_source=chatgpt.com" xr:uid="{06B469A9-6E20-496B-9468-3250CEC4CF54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E5A8-0713-44AB-965E-3FD8EF402C9D}">
  <dimension ref="A3:Q34"/>
  <sheetViews>
    <sheetView showGridLines="0" workbookViewId="0">
      <selection activeCell="C10" sqref="C10"/>
    </sheetView>
  </sheetViews>
  <sheetFormatPr defaultRowHeight="15" x14ac:dyDescent="0.25"/>
  <cols>
    <col min="1" max="1" width="1.85546875" customWidth="1"/>
    <col min="2" max="2" width="28" bestFit="1" customWidth="1"/>
    <col min="3" max="14" width="9.5703125" bestFit="1" customWidth="1"/>
  </cols>
  <sheetData>
    <row r="3" spans="1:17" x14ac:dyDescent="0.25">
      <c r="B3" s="113" t="s">
        <v>337</v>
      </c>
      <c r="C3" s="143">
        <v>41699</v>
      </c>
      <c r="D3" s="143">
        <v>42064</v>
      </c>
      <c r="E3" s="143">
        <v>42430</v>
      </c>
      <c r="F3" s="143">
        <v>42795</v>
      </c>
      <c r="G3" s="143">
        <v>43160</v>
      </c>
      <c r="H3" s="143">
        <v>43525</v>
      </c>
      <c r="I3" s="143">
        <v>43891</v>
      </c>
      <c r="J3" s="143">
        <v>44256</v>
      </c>
      <c r="K3" s="143">
        <v>44621</v>
      </c>
      <c r="L3" s="143">
        <v>44986</v>
      </c>
      <c r="M3" s="143">
        <v>45352</v>
      </c>
      <c r="N3" s="143">
        <v>45717</v>
      </c>
      <c r="O3" s="11"/>
    </row>
    <row r="4" spans="1:17" x14ac:dyDescent="0.25">
      <c r="B4" s="145" t="s">
        <v>67</v>
      </c>
      <c r="C4" s="111">
        <v>9825</v>
      </c>
      <c r="D4" s="111">
        <v>8353</v>
      </c>
      <c r="E4" s="111">
        <v>10028</v>
      </c>
      <c r="F4" s="111">
        <v>11531</v>
      </c>
      <c r="G4" s="111">
        <v>13218</v>
      </c>
      <c r="H4" s="111">
        <v>14841</v>
      </c>
      <c r="I4" s="111">
        <v>17003</v>
      </c>
      <c r="J4" s="111">
        <v>23224</v>
      </c>
      <c r="K4" s="111">
        <v>23885</v>
      </c>
      <c r="L4" s="111">
        <v>22467</v>
      </c>
      <c r="M4" s="111">
        <v>25210</v>
      </c>
      <c r="N4" s="111">
        <v>35694</v>
      </c>
    </row>
    <row r="5" spans="1:17" x14ac:dyDescent="0.25">
      <c r="A5" s="141"/>
      <c r="B5" s="115" t="s">
        <v>68</v>
      </c>
      <c r="C5" s="106">
        <v>14172</v>
      </c>
      <c r="D5" s="106">
        <v>15946</v>
      </c>
      <c r="E5" s="106">
        <v>17839</v>
      </c>
      <c r="F5" s="106">
        <v>19340</v>
      </c>
      <c r="G5" s="106">
        <v>19963</v>
      </c>
      <c r="H5" s="106">
        <v>22126</v>
      </c>
      <c r="I5" s="106">
        <v>23920</v>
      </c>
      <c r="J5" s="106">
        <v>28845</v>
      </c>
      <c r="K5" s="106">
        <v>32921</v>
      </c>
      <c r="L5" s="106">
        <v>37605</v>
      </c>
      <c r="M5" s="106">
        <v>39523</v>
      </c>
      <c r="N5" s="106">
        <v>41591</v>
      </c>
    </row>
    <row r="6" spans="1:17" x14ac:dyDescent="0.25">
      <c r="B6" s="115" t="s">
        <v>43</v>
      </c>
      <c r="C6" s="106">
        <v>-1406</v>
      </c>
      <c r="D6" s="106">
        <v>-1475</v>
      </c>
      <c r="E6" s="106">
        <v>-1654</v>
      </c>
      <c r="F6" s="106">
        <v>-1743</v>
      </c>
      <c r="G6" s="106">
        <v>-1523</v>
      </c>
      <c r="H6" s="106">
        <v>-2881</v>
      </c>
      <c r="I6" s="106">
        <v>-3861</v>
      </c>
      <c r="J6" s="106">
        <v>-1835</v>
      </c>
      <c r="K6" s="106">
        <v>-7937</v>
      </c>
      <c r="L6" s="106">
        <v>-7076</v>
      </c>
      <c r="M6" s="106">
        <v>-2667</v>
      </c>
      <c r="N6" s="106">
        <v>-1769</v>
      </c>
    </row>
    <row r="7" spans="1:17" x14ac:dyDescent="0.25">
      <c r="B7" s="115" t="s">
        <v>69</v>
      </c>
      <c r="C7" s="106">
        <v>0</v>
      </c>
      <c r="D7" s="106">
        <v>0</v>
      </c>
      <c r="E7" s="106">
        <v>242</v>
      </c>
      <c r="F7" s="106">
        <v>-19</v>
      </c>
      <c r="G7" s="106">
        <v>328</v>
      </c>
      <c r="H7" s="106">
        <v>916</v>
      </c>
      <c r="I7" s="106">
        <v>-373</v>
      </c>
      <c r="J7" s="106">
        <v>-245</v>
      </c>
      <c r="K7" s="106">
        <v>1489</v>
      </c>
      <c r="L7" s="106">
        <v>-279</v>
      </c>
      <c r="M7" s="106">
        <v>91</v>
      </c>
      <c r="N7" s="106">
        <v>176</v>
      </c>
      <c r="Q7" s="12"/>
    </row>
    <row r="8" spans="1:17" x14ac:dyDescent="0.25">
      <c r="B8" s="115" t="s">
        <v>70</v>
      </c>
      <c r="C8" s="106">
        <v>-1060</v>
      </c>
      <c r="D8" s="106">
        <v>-221</v>
      </c>
      <c r="E8" s="106">
        <v>-1134</v>
      </c>
      <c r="F8" s="106">
        <v>0</v>
      </c>
      <c r="G8" s="106">
        <v>0</v>
      </c>
      <c r="H8" s="106">
        <v>0</v>
      </c>
      <c r="I8" s="106">
        <v>0</v>
      </c>
      <c r="J8" s="106">
        <v>-534</v>
      </c>
      <c r="K8" s="106">
        <v>-1914</v>
      </c>
      <c r="L8" s="106">
        <v>-3108</v>
      </c>
      <c r="M8" s="106">
        <v>-1172</v>
      </c>
      <c r="N8" s="106">
        <v>-1024</v>
      </c>
    </row>
    <row r="9" spans="1:17" x14ac:dyDescent="0.25">
      <c r="B9" s="115" t="s">
        <v>71</v>
      </c>
      <c r="C9" s="106">
        <v>1993</v>
      </c>
      <c r="D9" s="106">
        <v>854</v>
      </c>
      <c r="E9" s="106">
        <v>600</v>
      </c>
      <c r="F9" s="106">
        <v>-394</v>
      </c>
      <c r="G9" s="106">
        <v>1279</v>
      </c>
      <c r="H9" s="106">
        <v>1512</v>
      </c>
      <c r="I9" s="106">
        <v>1867</v>
      </c>
      <c r="J9" s="106">
        <v>3382</v>
      </c>
      <c r="K9" s="106">
        <v>6938</v>
      </c>
      <c r="L9" s="106">
        <v>4119</v>
      </c>
      <c r="M9" s="106">
        <v>-1334</v>
      </c>
      <c r="N9" s="106">
        <v>2322</v>
      </c>
    </row>
    <row r="10" spans="1:17" x14ac:dyDescent="0.25">
      <c r="B10" s="115" t="s">
        <v>72</v>
      </c>
      <c r="C10" s="106">
        <v>-473</v>
      </c>
      <c r="D10" s="106">
        <v>-842</v>
      </c>
      <c r="E10" s="106">
        <v>-1946</v>
      </c>
      <c r="F10" s="106">
        <v>-2156</v>
      </c>
      <c r="G10" s="106">
        <v>84</v>
      </c>
      <c r="H10" s="106">
        <v>-453</v>
      </c>
      <c r="I10" s="106">
        <v>-2367</v>
      </c>
      <c r="J10" s="106">
        <v>768</v>
      </c>
      <c r="K10" s="106">
        <v>-1424</v>
      </c>
      <c r="L10" s="106">
        <v>-6344</v>
      </c>
      <c r="M10" s="106">
        <v>-5082</v>
      </c>
      <c r="N10" s="106">
        <v>-295</v>
      </c>
    </row>
    <row r="11" spans="1:17" x14ac:dyDescent="0.25">
      <c r="B11" s="115" t="s">
        <v>73</v>
      </c>
      <c r="C11" s="106">
        <v>-3874</v>
      </c>
      <c r="D11" s="106">
        <v>-6751</v>
      </c>
      <c r="E11" s="106">
        <v>-5865</v>
      </c>
      <c r="F11" s="106">
        <v>-5653</v>
      </c>
      <c r="G11" s="106">
        <v>-6829</v>
      </c>
      <c r="H11" s="106">
        <v>-6832</v>
      </c>
      <c r="I11" s="106">
        <v>-4550</v>
      </c>
      <c r="J11" s="106">
        <v>-6389</v>
      </c>
      <c r="K11" s="106">
        <v>-7612</v>
      </c>
      <c r="L11" s="106">
        <v>-8794</v>
      </c>
      <c r="M11" s="106">
        <v>-9231</v>
      </c>
      <c r="N11" s="106">
        <v>-5602</v>
      </c>
    </row>
    <row r="12" spans="1:17" x14ac:dyDescent="0.25">
      <c r="B12" s="21" t="s">
        <v>74</v>
      </c>
      <c r="C12" s="106">
        <v>-2563</v>
      </c>
      <c r="D12" s="106">
        <v>999</v>
      </c>
      <c r="E12" s="106">
        <v>-885</v>
      </c>
      <c r="F12" s="106">
        <v>-14664</v>
      </c>
      <c r="G12" s="106">
        <v>4533</v>
      </c>
      <c r="H12" s="106">
        <v>-632</v>
      </c>
      <c r="I12" s="106">
        <v>-331</v>
      </c>
      <c r="J12" s="106">
        <v>-7373</v>
      </c>
      <c r="K12" s="106">
        <v>-6485</v>
      </c>
      <c r="L12" s="106">
        <v>-1071</v>
      </c>
      <c r="M12" s="106">
        <v>-5093</v>
      </c>
      <c r="N12" s="106">
        <v>-1864</v>
      </c>
    </row>
    <row r="13" spans="1:17" x14ac:dyDescent="0.25">
      <c r="B13" s="115" t="s">
        <v>75</v>
      </c>
      <c r="C13" s="106">
        <v>-2748</v>
      </c>
      <c r="D13" s="106">
        <v>-2247</v>
      </c>
      <c r="E13" s="106">
        <v>-2723</v>
      </c>
      <c r="F13" s="106">
        <v>-2760</v>
      </c>
      <c r="G13" s="106">
        <v>-1998</v>
      </c>
      <c r="H13" s="106">
        <v>-2445</v>
      </c>
      <c r="I13" s="106">
        <v>-3307</v>
      </c>
      <c r="J13" s="106">
        <v>-2107</v>
      </c>
      <c r="K13" s="106">
        <v>-2161</v>
      </c>
      <c r="L13" s="106">
        <v>-2579</v>
      </c>
      <c r="M13" s="106">
        <v>-2201</v>
      </c>
      <c r="N13" s="106">
        <v>-2237</v>
      </c>
    </row>
    <row r="14" spans="1:17" x14ac:dyDescent="0.25">
      <c r="B14" s="115" t="s">
        <v>76</v>
      </c>
      <c r="C14" s="106">
        <v>3</v>
      </c>
      <c r="D14" s="106">
        <v>0</v>
      </c>
      <c r="E14" s="106">
        <v>0</v>
      </c>
      <c r="F14" s="106">
        <v>0</v>
      </c>
      <c r="G14" s="106">
        <v>0</v>
      </c>
      <c r="H14" s="106">
        <v>0</v>
      </c>
      <c r="I14" s="106">
        <v>0</v>
      </c>
      <c r="J14" s="106">
        <v>0</v>
      </c>
      <c r="K14" s="106">
        <v>0</v>
      </c>
      <c r="L14" s="106">
        <v>0</v>
      </c>
      <c r="M14" s="106">
        <v>0</v>
      </c>
      <c r="N14" s="106">
        <v>0</v>
      </c>
    </row>
    <row r="15" spans="1:17" x14ac:dyDescent="0.25">
      <c r="B15" s="115" t="s">
        <v>77</v>
      </c>
      <c r="C15" s="106">
        <v>-25046</v>
      </c>
      <c r="D15" s="106">
        <v>-23923</v>
      </c>
      <c r="E15" s="106">
        <v>-24577</v>
      </c>
      <c r="F15" s="106">
        <v>-66410</v>
      </c>
      <c r="G15" s="106">
        <v>-69159</v>
      </c>
      <c r="H15" s="106">
        <v>-79410</v>
      </c>
      <c r="I15" s="106">
        <v>-37482</v>
      </c>
      <c r="J15" s="106">
        <v>-46738</v>
      </c>
      <c r="K15" s="106">
        <v>-59951</v>
      </c>
      <c r="L15" s="106">
        <v>-75800</v>
      </c>
      <c r="M15" s="106">
        <v>-78118</v>
      </c>
      <c r="N15" s="106">
        <v>-82753</v>
      </c>
    </row>
    <row r="16" spans="1:17" x14ac:dyDescent="0.25">
      <c r="B16" s="115" t="s">
        <v>78</v>
      </c>
      <c r="C16" s="106">
        <v>22385</v>
      </c>
      <c r="D16" s="106">
        <v>25253</v>
      </c>
      <c r="E16" s="106">
        <v>24980</v>
      </c>
      <c r="F16" s="106">
        <v>52048</v>
      </c>
      <c r="G16" s="106">
        <v>74003</v>
      </c>
      <c r="H16" s="106">
        <v>78098</v>
      </c>
      <c r="I16" s="106">
        <v>38861</v>
      </c>
      <c r="J16" s="106">
        <v>40381</v>
      </c>
      <c r="K16" s="106">
        <v>57356</v>
      </c>
      <c r="L16" s="106">
        <v>76722</v>
      </c>
      <c r="M16" s="106">
        <v>72956</v>
      </c>
      <c r="N16" s="106">
        <v>84888</v>
      </c>
    </row>
    <row r="17" spans="2:14" x14ac:dyDescent="0.25">
      <c r="B17" s="115" t="s">
        <v>79</v>
      </c>
      <c r="C17" s="106">
        <v>2379</v>
      </c>
      <c r="D17" s="106">
        <v>2551</v>
      </c>
      <c r="E17" s="106">
        <v>2383</v>
      </c>
      <c r="F17" s="106">
        <v>0</v>
      </c>
      <c r="G17" s="106">
        <v>0</v>
      </c>
      <c r="H17" s="106">
        <v>0</v>
      </c>
      <c r="I17" s="106">
        <v>0</v>
      </c>
      <c r="J17" s="106">
        <v>0</v>
      </c>
      <c r="K17" s="106">
        <v>0</v>
      </c>
      <c r="L17" s="106">
        <v>0</v>
      </c>
      <c r="M17" s="106">
        <v>0</v>
      </c>
      <c r="N17" s="106">
        <v>0</v>
      </c>
    </row>
    <row r="18" spans="2:14" x14ac:dyDescent="0.25">
      <c r="B18" s="115" t="s">
        <v>80</v>
      </c>
      <c r="C18" s="106">
        <v>0</v>
      </c>
      <c r="D18" s="106">
        <v>0</v>
      </c>
      <c r="E18" s="106">
        <v>0</v>
      </c>
      <c r="F18" s="106">
        <v>2753</v>
      </c>
      <c r="G18" s="106">
        <v>1768</v>
      </c>
      <c r="H18" s="106">
        <v>1557</v>
      </c>
      <c r="I18" s="106">
        <v>1929</v>
      </c>
      <c r="J18" s="106">
        <v>1418</v>
      </c>
      <c r="K18" s="106">
        <v>1898</v>
      </c>
      <c r="L18" s="106">
        <v>1525</v>
      </c>
      <c r="M18" s="106">
        <v>1768</v>
      </c>
      <c r="N18" s="106">
        <v>2040</v>
      </c>
    </row>
    <row r="19" spans="2:14" x14ac:dyDescent="0.25">
      <c r="B19" s="115" t="s">
        <v>81</v>
      </c>
      <c r="C19" s="106">
        <v>0</v>
      </c>
      <c r="D19" s="106">
        <v>-1376</v>
      </c>
      <c r="E19" s="106">
        <v>-747</v>
      </c>
      <c r="F19" s="106">
        <v>0</v>
      </c>
      <c r="G19" s="106">
        <v>0</v>
      </c>
      <c r="H19" s="106">
        <v>0</v>
      </c>
      <c r="I19" s="106">
        <v>0</v>
      </c>
      <c r="J19" s="106">
        <v>0</v>
      </c>
      <c r="K19" s="106">
        <v>0</v>
      </c>
      <c r="L19" s="106">
        <v>0</v>
      </c>
      <c r="M19" s="106">
        <v>0</v>
      </c>
      <c r="N19" s="106">
        <v>0</v>
      </c>
    </row>
    <row r="20" spans="2:14" x14ac:dyDescent="0.25">
      <c r="B20" s="115" t="s">
        <v>82</v>
      </c>
      <c r="C20" s="106">
        <v>0</v>
      </c>
      <c r="D20" s="106">
        <v>0</v>
      </c>
      <c r="E20" s="106">
        <v>-142</v>
      </c>
      <c r="F20" s="106">
        <v>-164</v>
      </c>
      <c r="G20" s="106">
        <v>-130</v>
      </c>
      <c r="H20" s="106">
        <v>-24</v>
      </c>
      <c r="I20" s="106">
        <v>-108</v>
      </c>
      <c r="J20" s="106">
        <v>0</v>
      </c>
      <c r="K20" s="106">
        <v>0</v>
      </c>
      <c r="L20" s="106">
        <v>0</v>
      </c>
      <c r="M20" s="106">
        <v>0</v>
      </c>
      <c r="N20" s="106">
        <v>0</v>
      </c>
    </row>
    <row r="21" spans="2:14" x14ac:dyDescent="0.25">
      <c r="B21" s="115" t="s">
        <v>83</v>
      </c>
      <c r="C21" s="106">
        <v>464</v>
      </c>
      <c r="D21" s="106">
        <v>741</v>
      </c>
      <c r="E21" s="106">
        <v>-59</v>
      </c>
      <c r="F21" s="106">
        <v>-131</v>
      </c>
      <c r="G21" s="106">
        <v>49</v>
      </c>
      <c r="H21" s="106">
        <v>1592</v>
      </c>
      <c r="I21" s="106">
        <v>-224</v>
      </c>
      <c r="J21" s="106">
        <v>-327</v>
      </c>
      <c r="K21" s="106">
        <v>-3627</v>
      </c>
      <c r="L21" s="106">
        <v>-939</v>
      </c>
      <c r="M21" s="106">
        <v>502</v>
      </c>
      <c r="N21" s="106">
        <v>-3802</v>
      </c>
    </row>
    <row r="22" spans="2:14" x14ac:dyDescent="0.25">
      <c r="B22" s="21" t="s">
        <v>84</v>
      </c>
      <c r="C22" s="106">
        <v>-3144</v>
      </c>
      <c r="D22" s="106">
        <v>-4935</v>
      </c>
      <c r="E22" s="106">
        <v>-6813</v>
      </c>
      <c r="F22" s="106">
        <v>-6939</v>
      </c>
      <c r="G22" s="106">
        <v>-20505</v>
      </c>
      <c r="H22" s="106">
        <v>-14512</v>
      </c>
      <c r="I22" s="106">
        <v>-17591</v>
      </c>
      <c r="J22" s="106">
        <v>-9786</v>
      </c>
      <c r="K22" s="106">
        <v>-24642</v>
      </c>
      <c r="L22" s="106">
        <v>-26695</v>
      </c>
      <c r="M22" s="106">
        <v>-17504</v>
      </c>
      <c r="N22" s="106">
        <v>-24161</v>
      </c>
    </row>
    <row r="23" spans="2:14" x14ac:dyDescent="0.25">
      <c r="B23" s="115" t="s">
        <v>85</v>
      </c>
      <c r="C23" s="106">
        <v>0</v>
      </c>
      <c r="D23" s="106">
        <v>0</v>
      </c>
      <c r="E23" s="106">
        <v>0</v>
      </c>
      <c r="F23" s="106">
        <v>0</v>
      </c>
      <c r="G23" s="106">
        <v>5</v>
      </c>
      <c r="H23" s="106">
        <v>6</v>
      </c>
      <c r="I23" s="106">
        <v>6</v>
      </c>
      <c r="J23" s="106">
        <v>15</v>
      </c>
      <c r="K23" s="106">
        <v>21</v>
      </c>
      <c r="L23" s="106">
        <v>35</v>
      </c>
      <c r="M23" s="106">
        <v>5</v>
      </c>
      <c r="N23" s="106">
        <v>6</v>
      </c>
    </row>
    <row r="24" spans="2:14" x14ac:dyDescent="0.25">
      <c r="B24" s="115" t="s">
        <v>86</v>
      </c>
      <c r="C24" s="106">
        <v>0</v>
      </c>
      <c r="D24" s="106">
        <v>0</v>
      </c>
      <c r="E24" s="106">
        <v>0</v>
      </c>
      <c r="F24" s="106">
        <v>0</v>
      </c>
      <c r="G24" s="106">
        <v>0</v>
      </c>
      <c r="H24" s="106">
        <v>0</v>
      </c>
      <c r="I24" s="106">
        <v>0</v>
      </c>
      <c r="J24" s="106">
        <v>0</v>
      </c>
      <c r="K24" s="106">
        <v>0</v>
      </c>
      <c r="L24" s="106">
        <v>0</v>
      </c>
      <c r="M24" s="106">
        <v>0</v>
      </c>
      <c r="N24" s="106">
        <v>-985</v>
      </c>
    </row>
    <row r="25" spans="2:14" x14ac:dyDescent="0.25">
      <c r="B25" s="115" t="s">
        <v>87</v>
      </c>
      <c r="C25" s="106">
        <v>-3144</v>
      </c>
      <c r="D25" s="106">
        <v>-4935</v>
      </c>
      <c r="E25" s="106">
        <v>-6813</v>
      </c>
      <c r="F25" s="106">
        <v>-6939</v>
      </c>
      <c r="G25" s="106">
        <v>-7464</v>
      </c>
      <c r="H25" s="106">
        <v>-13705</v>
      </c>
      <c r="I25" s="106">
        <v>-9548</v>
      </c>
      <c r="J25" s="106">
        <v>-9137</v>
      </c>
      <c r="K25" s="106">
        <v>-12731</v>
      </c>
      <c r="L25" s="106">
        <v>-13653</v>
      </c>
      <c r="M25" s="106">
        <v>-14731</v>
      </c>
      <c r="N25" s="106">
        <v>-20289</v>
      </c>
    </row>
    <row r="26" spans="2:14" x14ac:dyDescent="0.25">
      <c r="B26" s="115" t="s">
        <v>88</v>
      </c>
      <c r="C26" s="106">
        <v>0</v>
      </c>
      <c r="D26" s="106">
        <v>0</v>
      </c>
      <c r="E26" s="106">
        <v>0</v>
      </c>
      <c r="F26" s="106">
        <v>0</v>
      </c>
      <c r="G26" s="106">
        <v>0</v>
      </c>
      <c r="H26" s="106">
        <v>0</v>
      </c>
      <c r="I26" s="106">
        <v>-571</v>
      </c>
      <c r="J26" s="106">
        <v>-698</v>
      </c>
      <c r="K26" s="106">
        <v>-915</v>
      </c>
      <c r="L26" s="106">
        <v>-1231</v>
      </c>
      <c r="M26" s="106">
        <v>-2024</v>
      </c>
      <c r="N26" s="106">
        <v>-2355</v>
      </c>
    </row>
    <row r="27" spans="2:14" ht="15.75" thickBot="1" x14ac:dyDescent="0.3">
      <c r="B27" s="144" t="s">
        <v>89</v>
      </c>
      <c r="C27" s="107">
        <v>0</v>
      </c>
      <c r="D27" s="107">
        <v>0</v>
      </c>
      <c r="E27" s="107">
        <v>0</v>
      </c>
      <c r="F27" s="107">
        <v>0</v>
      </c>
      <c r="G27" s="107">
        <v>-13046</v>
      </c>
      <c r="H27" s="107">
        <v>-813</v>
      </c>
      <c r="I27" s="107">
        <v>-7478</v>
      </c>
      <c r="J27" s="107">
        <v>34</v>
      </c>
      <c r="K27" s="107">
        <v>-11017</v>
      </c>
      <c r="L27" s="107">
        <v>-11846</v>
      </c>
      <c r="M27" s="107">
        <v>-754</v>
      </c>
      <c r="N27" s="107">
        <v>-538</v>
      </c>
    </row>
    <row r="28" spans="2:14" ht="15.75" thickBot="1" x14ac:dyDescent="0.3">
      <c r="B28" s="147" t="s">
        <v>21</v>
      </c>
      <c r="C28" s="158">
        <v>4118</v>
      </c>
      <c r="D28" s="158">
        <v>4417</v>
      </c>
      <c r="E28" s="158">
        <v>2330</v>
      </c>
      <c r="F28" s="158">
        <v>-10072</v>
      </c>
      <c r="G28" s="158">
        <v>-2754</v>
      </c>
      <c r="H28" s="158">
        <v>-303</v>
      </c>
      <c r="I28" s="158">
        <v>-919</v>
      </c>
      <c r="J28" s="158">
        <v>6065</v>
      </c>
      <c r="K28" s="158">
        <v>-7242</v>
      </c>
      <c r="L28" s="158">
        <v>-5299</v>
      </c>
      <c r="M28" s="158">
        <v>2613</v>
      </c>
      <c r="N28" s="158">
        <v>9669</v>
      </c>
    </row>
    <row r="29" spans="2:14" ht="15.75" thickTop="1" x14ac:dyDescent="0.25"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2:14" x14ac:dyDescent="0.25"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2:14" x14ac:dyDescent="0.25">
      <c r="C31" s="12"/>
      <c r="N31" s="12"/>
    </row>
    <row r="32" spans="2:14" x14ac:dyDescent="0.25">
      <c r="J32" s="12"/>
      <c r="K32" s="12"/>
      <c r="L32" s="12"/>
      <c r="M32" s="12"/>
      <c r="N32" s="12"/>
    </row>
    <row r="33" spans="3:14" x14ac:dyDescent="0.25">
      <c r="C33" s="12"/>
      <c r="L33" s="12"/>
      <c r="M33" s="12"/>
      <c r="N33" s="12"/>
    </row>
    <row r="34" spans="3:14" x14ac:dyDescent="0.25">
      <c r="C34" s="12"/>
      <c r="D34" s="12"/>
      <c r="E34" s="12"/>
      <c r="F34" s="12"/>
      <c r="G34" s="12"/>
      <c r="I34" s="12"/>
      <c r="J34" s="12"/>
      <c r="K34" s="12"/>
      <c r="L34" s="12"/>
      <c r="M34" s="1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8DBC-3AFE-428E-BD9C-5E6BCD2862B3}">
  <sheetPr>
    <pageSetUpPr fitToPage="1"/>
  </sheetPr>
  <dimension ref="A3:O69"/>
  <sheetViews>
    <sheetView showGridLines="0" topLeftCell="B3" workbookViewId="0">
      <pane ySplit="1" topLeftCell="A32" activePane="bottomLeft" state="frozen"/>
      <selection activeCell="A3" sqref="A3"/>
      <selection pane="bottomLeft" activeCell="G57" sqref="G57"/>
    </sheetView>
  </sheetViews>
  <sheetFormatPr defaultRowHeight="15" x14ac:dyDescent="0.25"/>
  <cols>
    <col min="1" max="1" width="1.85546875" customWidth="1"/>
    <col min="2" max="2" width="25.5703125" customWidth="1"/>
    <col min="3" max="9" width="9.5703125" bestFit="1" customWidth="1"/>
    <col min="10" max="14" width="9.85546875" bestFit="1" customWidth="1"/>
  </cols>
  <sheetData>
    <row r="3" spans="1:15" x14ac:dyDescent="0.25">
      <c r="A3" t="s">
        <v>56</v>
      </c>
      <c r="B3" s="100" t="s">
        <v>265</v>
      </c>
      <c r="C3" s="101">
        <v>41699</v>
      </c>
      <c r="D3" s="101">
        <v>42064</v>
      </c>
      <c r="E3" s="101">
        <v>42430</v>
      </c>
      <c r="F3" s="101">
        <v>42795</v>
      </c>
      <c r="G3" s="101">
        <v>43160</v>
      </c>
      <c r="H3" s="101">
        <v>43525</v>
      </c>
      <c r="I3" s="101">
        <v>43891</v>
      </c>
      <c r="J3" s="101">
        <v>44256</v>
      </c>
      <c r="K3" s="101">
        <v>44621</v>
      </c>
      <c r="L3" s="101">
        <v>44986</v>
      </c>
      <c r="M3" s="101">
        <v>45352</v>
      </c>
      <c r="N3" s="101">
        <v>45717</v>
      </c>
      <c r="O3" s="11"/>
    </row>
    <row r="4" spans="1:15" x14ac:dyDescent="0.25">
      <c r="B4" s="2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11"/>
    </row>
    <row r="5" spans="1:15" x14ac:dyDescent="0.25">
      <c r="B5" s="2" t="s">
        <v>266</v>
      </c>
      <c r="C5" s="106">
        <v>286</v>
      </c>
      <c r="D5" s="106">
        <v>572</v>
      </c>
      <c r="E5" s="106">
        <v>1144</v>
      </c>
      <c r="F5" s="106">
        <v>1144</v>
      </c>
      <c r="G5" s="106">
        <v>1088</v>
      </c>
      <c r="H5" s="106">
        <v>2170</v>
      </c>
      <c r="I5" s="106">
        <v>2122</v>
      </c>
      <c r="J5" s="106">
        <v>2124</v>
      </c>
      <c r="K5" s="106">
        <v>2098</v>
      </c>
      <c r="L5" s="106">
        <v>2069</v>
      </c>
      <c r="M5" s="106">
        <v>2071</v>
      </c>
      <c r="N5" s="106">
        <v>2073</v>
      </c>
      <c r="O5" s="12"/>
    </row>
    <row r="6" spans="1:15" x14ac:dyDescent="0.25">
      <c r="B6" s="2" t="s">
        <v>12</v>
      </c>
      <c r="C6" s="106">
        <v>44244</v>
      </c>
      <c r="D6" s="106">
        <v>50164</v>
      </c>
      <c r="E6" s="106">
        <v>60600</v>
      </c>
      <c r="F6" s="106">
        <v>67838</v>
      </c>
      <c r="G6" s="106">
        <v>63835</v>
      </c>
      <c r="H6" s="106">
        <v>62778</v>
      </c>
      <c r="I6" s="106">
        <v>63328</v>
      </c>
      <c r="J6" s="106">
        <v>74227</v>
      </c>
      <c r="K6" s="106">
        <v>73252</v>
      </c>
      <c r="L6" s="106">
        <v>73338</v>
      </c>
      <c r="M6" s="106">
        <v>86045</v>
      </c>
      <c r="N6" s="106">
        <v>93745</v>
      </c>
      <c r="O6" s="12"/>
    </row>
    <row r="7" spans="1:15" x14ac:dyDescent="0.25">
      <c r="B7" s="2" t="s">
        <v>267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2"/>
    </row>
    <row r="8" spans="1:15" x14ac:dyDescent="0.25">
      <c r="B8" t="s">
        <v>268</v>
      </c>
      <c r="C8" s="106">
        <v>0</v>
      </c>
      <c r="D8" s="106">
        <v>0</v>
      </c>
      <c r="E8" s="106">
        <v>0</v>
      </c>
      <c r="F8" s="106">
        <v>0</v>
      </c>
      <c r="G8" s="106">
        <v>0</v>
      </c>
      <c r="H8" s="106">
        <v>0</v>
      </c>
      <c r="I8" s="106">
        <v>4633</v>
      </c>
      <c r="J8" s="106">
        <v>5325</v>
      </c>
      <c r="K8" s="106">
        <v>5474</v>
      </c>
      <c r="L8" s="106">
        <v>8299</v>
      </c>
      <c r="M8" s="106">
        <v>8359</v>
      </c>
      <c r="N8" s="106">
        <v>8227</v>
      </c>
      <c r="O8" s="12"/>
    </row>
    <row r="9" spans="1:15" x14ac:dyDescent="0.25">
      <c r="B9" s="2" t="s">
        <v>269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2"/>
    </row>
    <row r="10" spans="1:15" x14ac:dyDescent="0.25">
      <c r="B10" t="s">
        <v>270</v>
      </c>
      <c r="C10" s="106">
        <v>0</v>
      </c>
      <c r="D10" s="106">
        <v>0</v>
      </c>
      <c r="E10" s="106">
        <v>0</v>
      </c>
      <c r="F10" s="106">
        <v>0</v>
      </c>
      <c r="G10" s="106">
        <v>1</v>
      </c>
      <c r="H10" s="106">
        <v>58</v>
      </c>
      <c r="I10" s="106">
        <v>394</v>
      </c>
      <c r="J10" s="106">
        <v>431</v>
      </c>
      <c r="K10" s="106">
        <v>386</v>
      </c>
      <c r="L10" s="106">
        <v>388</v>
      </c>
      <c r="M10" s="106">
        <v>345</v>
      </c>
      <c r="N10" s="106">
        <v>385</v>
      </c>
    </row>
    <row r="11" spans="1:15" x14ac:dyDescent="0.25">
      <c r="B11" t="s">
        <v>271</v>
      </c>
      <c r="C11" s="106">
        <v>173</v>
      </c>
      <c r="D11" s="106">
        <v>140</v>
      </c>
      <c r="E11" s="106">
        <v>386</v>
      </c>
      <c r="F11" s="106">
        <v>367</v>
      </c>
      <c r="G11" s="106">
        <v>694</v>
      </c>
      <c r="H11" s="106">
        <v>1655</v>
      </c>
      <c r="I11" s="106">
        <v>2852</v>
      </c>
      <c r="J11" s="106">
        <v>2645</v>
      </c>
      <c r="K11" s="106">
        <v>4134</v>
      </c>
      <c r="L11" s="106">
        <v>3865</v>
      </c>
      <c r="M11" s="106">
        <v>3956</v>
      </c>
      <c r="N11" s="106">
        <v>4164</v>
      </c>
      <c r="O11" s="12"/>
    </row>
    <row r="12" spans="1:15" x14ac:dyDescent="0.25">
      <c r="B12" t="s">
        <v>272</v>
      </c>
      <c r="C12" s="106">
        <v>40</v>
      </c>
      <c r="D12" s="106">
        <v>27</v>
      </c>
      <c r="E12" s="106">
        <v>28</v>
      </c>
      <c r="F12" s="106">
        <v>0</v>
      </c>
      <c r="G12" s="106">
        <v>0</v>
      </c>
      <c r="H12" s="106">
        <v>0</v>
      </c>
      <c r="I12" s="106">
        <v>0</v>
      </c>
      <c r="J12" s="106">
        <v>0</v>
      </c>
      <c r="K12" s="106">
        <v>0</v>
      </c>
      <c r="L12" s="106">
        <v>0</v>
      </c>
      <c r="M12" s="106">
        <v>0</v>
      </c>
      <c r="N12" s="106">
        <v>0</v>
      </c>
    </row>
    <row r="13" spans="1:15" x14ac:dyDescent="0.25">
      <c r="B13" t="s">
        <v>273</v>
      </c>
      <c r="C13" s="103">
        <v>12223</v>
      </c>
      <c r="D13" s="103">
        <v>15386</v>
      </c>
      <c r="E13" s="103">
        <v>12940</v>
      </c>
      <c r="F13" s="103">
        <v>13799</v>
      </c>
      <c r="G13" s="103">
        <v>13731</v>
      </c>
      <c r="H13" s="103">
        <v>17405</v>
      </c>
      <c r="I13" s="103">
        <v>18471</v>
      </c>
      <c r="J13" s="103">
        <v>22759</v>
      </c>
      <c r="K13" s="103">
        <v>31385</v>
      </c>
      <c r="L13" s="103">
        <v>36637</v>
      </c>
      <c r="M13" s="103">
        <v>36584</v>
      </c>
      <c r="N13" s="103">
        <v>39201</v>
      </c>
      <c r="O13" s="12"/>
    </row>
    <row r="14" spans="1:15" x14ac:dyDescent="0.25">
      <c r="B14" s="102" t="s">
        <v>103</v>
      </c>
      <c r="C14" s="104">
        <v>56966</v>
      </c>
      <c r="D14" s="104">
        <v>66289</v>
      </c>
      <c r="E14" s="104">
        <v>75098</v>
      </c>
      <c r="F14" s="104">
        <v>83148</v>
      </c>
      <c r="G14" s="104">
        <v>79349</v>
      </c>
      <c r="H14" s="104">
        <v>84066</v>
      </c>
      <c r="I14" s="104">
        <v>91800</v>
      </c>
      <c r="J14" s="104">
        <v>107511</v>
      </c>
      <c r="K14" s="104">
        <v>116729</v>
      </c>
      <c r="L14" s="104">
        <v>124596</v>
      </c>
      <c r="M14" s="104">
        <v>137360</v>
      </c>
      <c r="N14" s="104">
        <v>147795</v>
      </c>
      <c r="O14" s="12"/>
    </row>
    <row r="15" spans="1:15" x14ac:dyDescent="0.25">
      <c r="B15" s="2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2"/>
    </row>
    <row r="16" spans="1:15" x14ac:dyDescent="0.25">
      <c r="B16" s="2" t="s">
        <v>274</v>
      </c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2"/>
    </row>
    <row r="17" spans="2:15" x14ac:dyDescent="0.25">
      <c r="B17" t="s">
        <v>275</v>
      </c>
      <c r="C17" s="106">
        <v>1142</v>
      </c>
      <c r="D17" s="106">
        <v>1564</v>
      </c>
      <c r="E17" s="106">
        <v>1622</v>
      </c>
      <c r="F17" s="106">
        <v>1095</v>
      </c>
      <c r="G17" s="106">
        <v>1229</v>
      </c>
      <c r="H17" s="106">
        <v>1307</v>
      </c>
      <c r="I17" s="106">
        <v>1950</v>
      </c>
      <c r="J17" s="106">
        <v>2036</v>
      </c>
      <c r="K17" s="106">
        <v>2065</v>
      </c>
      <c r="L17" s="106">
        <v>2054</v>
      </c>
      <c r="M17" s="106">
        <v>2037</v>
      </c>
      <c r="N17" s="106">
        <v>2079</v>
      </c>
    </row>
    <row r="18" spans="2:15" x14ac:dyDescent="0.25">
      <c r="B18" t="s">
        <v>276</v>
      </c>
      <c r="C18" s="106">
        <v>5238</v>
      </c>
      <c r="D18" s="106">
        <v>6102</v>
      </c>
      <c r="E18" s="106">
        <v>6325</v>
      </c>
      <c r="F18" s="106">
        <v>8419</v>
      </c>
      <c r="G18" s="106">
        <v>9334</v>
      </c>
      <c r="H18" s="106">
        <v>10270</v>
      </c>
      <c r="I18" s="106">
        <v>15104</v>
      </c>
      <c r="J18" s="106">
        <v>16328</v>
      </c>
      <c r="K18" s="106">
        <v>16761</v>
      </c>
      <c r="L18" s="106">
        <v>16903</v>
      </c>
      <c r="M18" s="106">
        <v>16515</v>
      </c>
      <c r="N18" s="106">
        <v>16376</v>
      </c>
    </row>
    <row r="19" spans="2:15" x14ac:dyDescent="0.25">
      <c r="B19" t="s">
        <v>277</v>
      </c>
      <c r="C19" s="106">
        <v>1150</v>
      </c>
      <c r="D19" s="106">
        <v>1427</v>
      </c>
      <c r="E19" s="106">
        <v>1759</v>
      </c>
      <c r="F19" s="106">
        <v>2048</v>
      </c>
      <c r="G19" s="106">
        <v>2306</v>
      </c>
      <c r="H19" s="106">
        <v>2709</v>
      </c>
      <c r="I19" s="106">
        <v>3185</v>
      </c>
      <c r="J19" s="106">
        <v>3296</v>
      </c>
      <c r="K19" s="106">
        <v>3210</v>
      </c>
      <c r="L19" s="106">
        <v>3302</v>
      </c>
      <c r="M19" s="106">
        <v>3428</v>
      </c>
      <c r="N19" s="106">
        <v>3461</v>
      </c>
    </row>
    <row r="20" spans="2:15" x14ac:dyDescent="0.25">
      <c r="B20" t="s">
        <v>278</v>
      </c>
      <c r="C20" s="106">
        <v>551</v>
      </c>
      <c r="D20" s="106">
        <v>676</v>
      </c>
      <c r="E20" s="106">
        <v>839</v>
      </c>
      <c r="F20" s="106">
        <v>922</v>
      </c>
      <c r="G20" s="106">
        <v>1002</v>
      </c>
      <c r="H20" s="106">
        <v>1101</v>
      </c>
      <c r="I20" s="106">
        <v>1265</v>
      </c>
      <c r="J20" s="106">
        <v>1371</v>
      </c>
      <c r="K20" s="106">
        <v>1427</v>
      </c>
      <c r="L20" s="106">
        <v>1482</v>
      </c>
      <c r="M20" s="106">
        <v>1528</v>
      </c>
      <c r="N20" s="106">
        <v>1628</v>
      </c>
    </row>
    <row r="21" spans="2:15" x14ac:dyDescent="0.25">
      <c r="B21" t="s">
        <v>279</v>
      </c>
      <c r="C21" s="106">
        <v>2659</v>
      </c>
      <c r="D21" s="106">
        <v>3347</v>
      </c>
      <c r="E21" s="106">
        <v>4486</v>
      </c>
      <c r="F21" s="106">
        <v>4945</v>
      </c>
      <c r="G21" s="106">
        <v>4903</v>
      </c>
      <c r="H21" s="106">
        <v>6287</v>
      </c>
      <c r="I21" s="106">
        <v>7423</v>
      </c>
      <c r="J21" s="106">
        <v>8650</v>
      </c>
      <c r="K21" s="106">
        <v>9936</v>
      </c>
      <c r="L21" s="106">
        <v>11898</v>
      </c>
      <c r="M21" s="106">
        <v>12353</v>
      </c>
      <c r="N21" s="106">
        <v>12925</v>
      </c>
    </row>
    <row r="22" spans="2:15" x14ac:dyDescent="0.25">
      <c r="B22" t="s">
        <v>280</v>
      </c>
      <c r="C22" s="106">
        <v>805</v>
      </c>
      <c r="D22" s="106">
        <v>958</v>
      </c>
      <c r="E22" s="106">
        <v>1444</v>
      </c>
      <c r="F22" s="106">
        <v>1277</v>
      </c>
      <c r="G22" s="106">
        <v>1393</v>
      </c>
      <c r="H22" s="106">
        <v>1620</v>
      </c>
      <c r="I22" s="106">
        <v>2073</v>
      </c>
      <c r="J22" s="106">
        <v>2149</v>
      </c>
      <c r="K22" s="106">
        <v>2279</v>
      </c>
      <c r="L22" s="106">
        <v>2303</v>
      </c>
      <c r="M22" s="106">
        <v>2326</v>
      </c>
      <c r="N22" s="106">
        <v>2340</v>
      </c>
    </row>
    <row r="23" spans="2:15" x14ac:dyDescent="0.25">
      <c r="B23" t="s">
        <v>281</v>
      </c>
      <c r="C23" s="106">
        <v>35</v>
      </c>
      <c r="D23" s="106">
        <v>34</v>
      </c>
      <c r="E23" s="106">
        <v>29</v>
      </c>
      <c r="F23" s="106">
        <v>31</v>
      </c>
      <c r="G23" s="106">
        <v>31</v>
      </c>
      <c r="H23" s="106">
        <v>38</v>
      </c>
      <c r="I23" s="106">
        <v>69</v>
      </c>
      <c r="J23" s="106">
        <v>74</v>
      </c>
      <c r="K23" s="106">
        <v>71</v>
      </c>
      <c r="L23" s="106">
        <v>60</v>
      </c>
      <c r="M23" s="106">
        <v>62</v>
      </c>
      <c r="N23" s="106">
        <v>72</v>
      </c>
    </row>
    <row r="24" spans="2:15" x14ac:dyDescent="0.25">
      <c r="B24" t="s">
        <v>282</v>
      </c>
      <c r="C24" s="106">
        <v>2244</v>
      </c>
      <c r="D24" s="106">
        <v>3637</v>
      </c>
      <c r="E24" s="106">
        <v>3858</v>
      </c>
      <c r="F24" s="106">
        <v>3743</v>
      </c>
      <c r="G24" s="106">
        <v>2237</v>
      </c>
      <c r="H24" s="106">
        <v>3640</v>
      </c>
      <c r="I24" s="106">
        <v>5527</v>
      </c>
      <c r="J24" s="106">
        <v>6372</v>
      </c>
      <c r="K24" s="106">
        <v>6495</v>
      </c>
      <c r="L24" s="106">
        <v>7594</v>
      </c>
      <c r="M24" s="106">
        <v>7653</v>
      </c>
      <c r="N24" s="106">
        <v>10626</v>
      </c>
      <c r="O24" s="12"/>
    </row>
    <row r="25" spans="2:15" x14ac:dyDescent="0.25">
      <c r="B25" t="s">
        <v>283</v>
      </c>
      <c r="C25" s="106">
        <v>126</v>
      </c>
      <c r="D25" s="106">
        <v>71</v>
      </c>
      <c r="E25" s="106">
        <v>931</v>
      </c>
      <c r="F25" s="106">
        <v>899</v>
      </c>
      <c r="G25" s="106">
        <v>545</v>
      </c>
      <c r="H25" s="106">
        <v>1093</v>
      </c>
      <c r="I25" s="106">
        <v>2289</v>
      </c>
      <c r="J25" s="106">
        <v>2730</v>
      </c>
      <c r="K25" s="106">
        <v>2766</v>
      </c>
      <c r="L25" s="106">
        <v>3281</v>
      </c>
      <c r="M25" s="106">
        <v>3294</v>
      </c>
      <c r="N25" s="106">
        <v>5184</v>
      </c>
    </row>
    <row r="26" spans="2:15" x14ac:dyDescent="0.25">
      <c r="B26" s="2" t="s">
        <v>284</v>
      </c>
      <c r="C26" s="105">
        <v>13950</v>
      </c>
      <c r="D26" s="105">
        <v>17816</v>
      </c>
      <c r="E26" s="105">
        <v>21293</v>
      </c>
      <c r="F26" s="105">
        <v>23379</v>
      </c>
      <c r="G26" s="105">
        <v>22980</v>
      </c>
      <c r="H26" s="105">
        <v>28065</v>
      </c>
      <c r="I26" s="105">
        <v>38885</v>
      </c>
      <c r="J26" s="105">
        <v>43006</v>
      </c>
      <c r="K26" s="105">
        <v>45010</v>
      </c>
      <c r="L26" s="105">
        <v>48877</v>
      </c>
      <c r="M26" s="105">
        <v>49196</v>
      </c>
      <c r="N26" s="105">
        <v>54691</v>
      </c>
    </row>
    <row r="27" spans="2:15" x14ac:dyDescent="0.25">
      <c r="B27" s="2" t="s">
        <v>285</v>
      </c>
      <c r="C27" s="107">
        <v>5572</v>
      </c>
      <c r="D27" s="107">
        <v>6470</v>
      </c>
      <c r="E27" s="107">
        <v>7907</v>
      </c>
      <c r="F27" s="107">
        <v>9200</v>
      </c>
      <c r="G27" s="107">
        <v>10406</v>
      </c>
      <c r="H27" s="107">
        <v>12355</v>
      </c>
      <c r="I27" s="107">
        <v>15096</v>
      </c>
      <c r="J27" s="107">
        <v>17501</v>
      </c>
      <c r="K27" s="107">
        <v>19210</v>
      </c>
      <c r="L27" s="107">
        <v>19652</v>
      </c>
      <c r="M27" s="107">
        <v>21574</v>
      </c>
      <c r="N27" s="107">
        <v>23730</v>
      </c>
    </row>
    <row r="28" spans="2:15" x14ac:dyDescent="0.25">
      <c r="B28" s="109" t="s">
        <v>14</v>
      </c>
      <c r="C28" s="110">
        <f>C26-C27</f>
        <v>8378</v>
      </c>
      <c r="D28" s="110">
        <f t="shared" ref="D28:M28" si="0">D26-D27</f>
        <v>11346</v>
      </c>
      <c r="E28" s="110">
        <f t="shared" si="0"/>
        <v>13386</v>
      </c>
      <c r="F28" s="110">
        <f t="shared" si="0"/>
        <v>14179</v>
      </c>
      <c r="G28" s="110">
        <f t="shared" si="0"/>
        <v>12574</v>
      </c>
      <c r="H28" s="110">
        <f t="shared" si="0"/>
        <v>15710</v>
      </c>
      <c r="I28" s="110">
        <f t="shared" si="0"/>
        <v>23789</v>
      </c>
      <c r="J28" s="110">
        <f t="shared" si="0"/>
        <v>25505</v>
      </c>
      <c r="K28" s="110">
        <f t="shared" si="0"/>
        <v>25800</v>
      </c>
      <c r="L28" s="110">
        <f t="shared" si="0"/>
        <v>29225</v>
      </c>
      <c r="M28" s="110">
        <f t="shared" si="0"/>
        <v>27622</v>
      </c>
      <c r="N28" s="110">
        <f>N26-N27</f>
        <v>30961</v>
      </c>
    </row>
    <row r="29" spans="2:15" x14ac:dyDescent="0.25">
      <c r="B29" s="2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</row>
    <row r="30" spans="2:15" x14ac:dyDescent="0.25">
      <c r="B30" s="2" t="s">
        <v>286</v>
      </c>
      <c r="C30" s="106">
        <v>961</v>
      </c>
      <c r="D30" s="106">
        <v>776</v>
      </c>
      <c r="E30" s="106">
        <v>960</v>
      </c>
      <c r="F30" s="106">
        <v>1365</v>
      </c>
      <c r="G30" s="106">
        <v>1606</v>
      </c>
      <c r="H30" s="106">
        <v>1388</v>
      </c>
      <c r="I30" s="106">
        <v>954</v>
      </c>
      <c r="J30" s="106">
        <v>922</v>
      </c>
      <c r="K30" s="106">
        <v>416</v>
      </c>
      <c r="L30" s="106">
        <v>288</v>
      </c>
      <c r="M30" s="106">
        <v>293</v>
      </c>
      <c r="N30" s="106">
        <v>814</v>
      </c>
      <c r="O30" s="12"/>
    </row>
    <row r="31" spans="2:15" x14ac:dyDescent="0.25">
      <c r="B31" s="2" t="s">
        <v>16</v>
      </c>
      <c r="C31" s="106">
        <v>4331</v>
      </c>
      <c r="D31" s="106">
        <v>2270</v>
      </c>
      <c r="E31" s="106">
        <v>1892</v>
      </c>
      <c r="F31" s="106">
        <v>16423</v>
      </c>
      <c r="G31" s="106">
        <v>12163</v>
      </c>
      <c r="H31" s="106">
        <v>11261</v>
      </c>
      <c r="I31" s="106">
        <v>8792</v>
      </c>
      <c r="J31" s="106">
        <v>14205</v>
      </c>
      <c r="K31" s="106">
        <v>20324</v>
      </c>
      <c r="L31" s="106">
        <v>19478</v>
      </c>
      <c r="M31" s="106">
        <v>24623</v>
      </c>
      <c r="N31" s="106">
        <v>23541</v>
      </c>
      <c r="O31" s="12"/>
    </row>
    <row r="32" spans="2:15" x14ac:dyDescent="0.25">
      <c r="B32" s="2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2"/>
    </row>
    <row r="33" spans="1:15" x14ac:dyDescent="0.25">
      <c r="B33" s="2" t="s">
        <v>287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2"/>
    </row>
    <row r="34" spans="1:15" x14ac:dyDescent="0.25">
      <c r="B34" t="s">
        <v>288</v>
      </c>
      <c r="C34" s="106">
        <v>8351</v>
      </c>
      <c r="D34" s="106">
        <v>9713</v>
      </c>
      <c r="E34" s="106">
        <v>11330</v>
      </c>
      <c r="F34" s="106">
        <v>12322</v>
      </c>
      <c r="G34" s="106">
        <v>13142</v>
      </c>
      <c r="H34" s="106">
        <v>14827</v>
      </c>
      <c r="I34" s="106">
        <v>18487</v>
      </c>
      <c r="J34" s="106">
        <v>19294</v>
      </c>
      <c r="K34" s="106">
        <v>22698</v>
      </c>
      <c r="L34" s="106">
        <v>25424</v>
      </c>
      <c r="M34" s="106">
        <v>30193</v>
      </c>
      <c r="N34" s="106">
        <v>31158</v>
      </c>
      <c r="O34" s="12"/>
    </row>
    <row r="35" spans="1:15" x14ac:dyDescent="0.25">
      <c r="B35" t="s">
        <v>289</v>
      </c>
      <c r="C35" s="106">
        <v>25950</v>
      </c>
      <c r="D35" s="106">
        <v>30367</v>
      </c>
      <c r="E35" s="106">
        <v>32697</v>
      </c>
      <c r="F35" s="106">
        <v>22625</v>
      </c>
      <c r="G35" s="106">
        <v>19818</v>
      </c>
      <c r="H35" s="106">
        <v>19568</v>
      </c>
      <c r="I35" s="106">
        <v>18649</v>
      </c>
      <c r="J35" s="106">
        <v>24714</v>
      </c>
      <c r="K35" s="106">
        <v>17472</v>
      </c>
      <c r="L35" s="106">
        <v>12173</v>
      </c>
      <c r="M35" s="106">
        <v>14786</v>
      </c>
      <c r="N35" s="106">
        <v>24455</v>
      </c>
      <c r="O35" s="12"/>
    </row>
    <row r="36" spans="1:15" x14ac:dyDescent="0.25">
      <c r="B36" t="s">
        <v>290</v>
      </c>
      <c r="C36" s="106">
        <v>1484</v>
      </c>
      <c r="D36" s="106">
        <v>399</v>
      </c>
      <c r="E36" s="106">
        <v>614</v>
      </c>
      <c r="F36" s="106">
        <v>844</v>
      </c>
      <c r="G36" s="106">
        <v>830</v>
      </c>
      <c r="H36" s="106">
        <v>1524</v>
      </c>
      <c r="I36" s="106">
        <v>1359</v>
      </c>
      <c r="J36" s="106">
        <v>1460</v>
      </c>
      <c r="K36" s="106">
        <v>2491</v>
      </c>
      <c r="L36" s="106">
        <v>3242</v>
      </c>
      <c r="M36" s="106">
        <v>10330</v>
      </c>
      <c r="N36" s="106">
        <v>6717</v>
      </c>
      <c r="O36" s="12"/>
    </row>
    <row r="37" spans="1:15" x14ac:dyDescent="0.25">
      <c r="B37" t="s">
        <v>291</v>
      </c>
      <c r="C37" s="103">
        <v>7511</v>
      </c>
      <c r="D37" s="103">
        <v>11418</v>
      </c>
      <c r="E37" s="103">
        <v>14219</v>
      </c>
      <c r="F37" s="103">
        <v>15390</v>
      </c>
      <c r="G37" s="103">
        <v>19216</v>
      </c>
      <c r="H37" s="103">
        <v>19788</v>
      </c>
      <c r="I37" s="103">
        <v>19770</v>
      </c>
      <c r="J37" s="103">
        <v>21411</v>
      </c>
      <c r="K37" s="103">
        <v>27528</v>
      </c>
      <c r="L37" s="103">
        <v>34766</v>
      </c>
      <c r="M37" s="103">
        <v>29513</v>
      </c>
      <c r="N37" s="103">
        <v>30149</v>
      </c>
      <c r="O37" s="12"/>
    </row>
    <row r="38" spans="1:15" x14ac:dyDescent="0.25">
      <c r="B38" s="102" t="s">
        <v>107</v>
      </c>
      <c r="C38" s="104">
        <v>56966</v>
      </c>
      <c r="D38" s="104">
        <v>66289</v>
      </c>
      <c r="E38" s="104">
        <v>75098</v>
      </c>
      <c r="F38" s="104">
        <v>83148</v>
      </c>
      <c r="G38" s="104">
        <v>79349</v>
      </c>
      <c r="H38" s="104">
        <v>84066</v>
      </c>
      <c r="I38" s="104">
        <v>91800</v>
      </c>
      <c r="J38" s="104">
        <v>107511</v>
      </c>
      <c r="K38" s="104">
        <v>116729</v>
      </c>
      <c r="L38" s="104">
        <v>124596</v>
      </c>
      <c r="M38" s="104">
        <v>137360</v>
      </c>
      <c r="N38" s="104">
        <v>147795</v>
      </c>
      <c r="O38" s="12"/>
    </row>
    <row r="41" spans="1:15" x14ac:dyDescent="0.25">
      <c r="A41" t="s">
        <v>56</v>
      </c>
      <c r="B41" s="113" t="s">
        <v>265</v>
      </c>
      <c r="C41" s="143">
        <v>41699</v>
      </c>
      <c r="D41" s="143">
        <v>42064</v>
      </c>
      <c r="E41" s="143">
        <v>42430</v>
      </c>
      <c r="F41" s="143">
        <v>42795</v>
      </c>
      <c r="G41" s="143">
        <v>43160</v>
      </c>
      <c r="H41" s="143">
        <v>43525</v>
      </c>
      <c r="I41" s="143">
        <v>43891</v>
      </c>
      <c r="J41" s="143">
        <v>44256</v>
      </c>
      <c r="K41" s="143">
        <v>44621</v>
      </c>
      <c r="L41" s="143">
        <v>44986</v>
      </c>
      <c r="M41" s="143">
        <v>45352</v>
      </c>
      <c r="N41" s="143">
        <v>45717</v>
      </c>
    </row>
    <row r="43" spans="1:15" x14ac:dyDescent="0.25">
      <c r="B43" s="145" t="s">
        <v>67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</row>
    <row r="44" spans="1:15" x14ac:dyDescent="0.25">
      <c r="B44" s="115" t="s">
        <v>68</v>
      </c>
      <c r="C44" s="106">
        <v>14172</v>
      </c>
      <c r="D44" s="106">
        <v>15946</v>
      </c>
      <c r="E44" s="106">
        <v>17839</v>
      </c>
      <c r="F44" s="106">
        <v>19340</v>
      </c>
      <c r="G44" s="106">
        <v>19963</v>
      </c>
      <c r="H44" s="106">
        <v>22126</v>
      </c>
      <c r="I44" s="106">
        <v>23920</v>
      </c>
      <c r="J44" s="106">
        <v>28845</v>
      </c>
      <c r="K44" s="106">
        <v>32921</v>
      </c>
      <c r="L44" s="106">
        <v>37605</v>
      </c>
      <c r="M44" s="106">
        <v>39523</v>
      </c>
      <c r="N44" s="106">
        <v>41591</v>
      </c>
    </row>
    <row r="45" spans="1:15" x14ac:dyDescent="0.25">
      <c r="B45" s="115" t="s">
        <v>43</v>
      </c>
      <c r="C45" s="106">
        <v>-1406</v>
      </c>
      <c r="D45" s="106">
        <v>-1475</v>
      </c>
      <c r="E45" s="106">
        <v>-1654</v>
      </c>
      <c r="F45" s="106">
        <v>-1743</v>
      </c>
      <c r="G45" s="106">
        <v>-1523</v>
      </c>
      <c r="H45" s="106">
        <v>-2881</v>
      </c>
      <c r="I45" s="106">
        <v>-3861</v>
      </c>
      <c r="J45" s="106">
        <v>-1835</v>
      </c>
      <c r="K45" s="106">
        <v>-7937</v>
      </c>
      <c r="L45" s="106">
        <v>-7076</v>
      </c>
      <c r="M45" s="106">
        <v>-2667</v>
      </c>
      <c r="N45" s="106">
        <v>-1769</v>
      </c>
    </row>
    <row r="46" spans="1:15" x14ac:dyDescent="0.25">
      <c r="B46" s="115" t="s">
        <v>69</v>
      </c>
      <c r="C46" s="106">
        <v>0</v>
      </c>
      <c r="D46" s="106">
        <v>0</v>
      </c>
      <c r="E46" s="106">
        <v>242</v>
      </c>
      <c r="F46" s="106">
        <v>-19</v>
      </c>
      <c r="G46" s="106">
        <v>328</v>
      </c>
      <c r="H46" s="106">
        <v>916</v>
      </c>
      <c r="I46" s="106">
        <v>-373</v>
      </c>
      <c r="J46" s="106">
        <v>-245</v>
      </c>
      <c r="K46" s="106">
        <v>1489</v>
      </c>
      <c r="L46" s="106">
        <v>-279</v>
      </c>
      <c r="M46" s="106">
        <v>91</v>
      </c>
      <c r="N46" s="106">
        <v>176</v>
      </c>
    </row>
    <row r="47" spans="1:15" x14ac:dyDescent="0.25">
      <c r="B47" s="115" t="s">
        <v>70</v>
      </c>
      <c r="C47" s="106">
        <v>-1060</v>
      </c>
      <c r="D47" s="106">
        <v>-221</v>
      </c>
      <c r="E47" s="106">
        <v>-1134</v>
      </c>
      <c r="F47" s="106">
        <v>0</v>
      </c>
      <c r="G47" s="106">
        <v>0</v>
      </c>
      <c r="H47" s="106">
        <v>0</v>
      </c>
      <c r="I47" s="106">
        <v>0</v>
      </c>
      <c r="J47" s="106">
        <v>-534</v>
      </c>
      <c r="K47" s="106">
        <v>-1914</v>
      </c>
      <c r="L47" s="106">
        <v>-3108</v>
      </c>
      <c r="M47" s="106">
        <v>-1172</v>
      </c>
      <c r="N47" s="106">
        <v>-1024</v>
      </c>
    </row>
    <row r="48" spans="1:15" x14ac:dyDescent="0.25">
      <c r="B48" s="115" t="s">
        <v>71</v>
      </c>
      <c r="C48" s="106">
        <v>1993</v>
      </c>
      <c r="D48" s="106">
        <v>854</v>
      </c>
      <c r="E48" s="106">
        <v>600</v>
      </c>
      <c r="F48" s="106">
        <v>-394</v>
      </c>
      <c r="G48" s="106">
        <v>1279</v>
      </c>
      <c r="H48" s="106">
        <v>1512</v>
      </c>
      <c r="I48" s="106">
        <v>1867</v>
      </c>
      <c r="J48" s="106">
        <v>3382</v>
      </c>
      <c r="K48" s="106">
        <v>6938</v>
      </c>
      <c r="L48" s="106">
        <v>4119</v>
      </c>
      <c r="M48" s="106">
        <v>-1334</v>
      </c>
      <c r="N48" s="106">
        <v>2322</v>
      </c>
    </row>
    <row r="49" spans="2:14" x14ac:dyDescent="0.25">
      <c r="B49" s="115" t="s">
        <v>72</v>
      </c>
      <c r="C49" s="106">
        <v>-473</v>
      </c>
      <c r="D49" s="106">
        <v>-842</v>
      </c>
      <c r="E49" s="106">
        <v>-1946</v>
      </c>
      <c r="F49" s="106">
        <v>-2156</v>
      </c>
      <c r="G49" s="106">
        <v>84</v>
      </c>
      <c r="H49" s="106">
        <v>-453</v>
      </c>
      <c r="I49" s="106">
        <v>-2367</v>
      </c>
      <c r="J49" s="106">
        <v>768</v>
      </c>
      <c r="K49" s="106">
        <v>-1424</v>
      </c>
      <c r="L49" s="106">
        <v>-6344</v>
      </c>
      <c r="M49" s="106">
        <v>-5082</v>
      </c>
      <c r="N49" s="106">
        <v>-295</v>
      </c>
    </row>
    <row r="50" spans="2:14" x14ac:dyDescent="0.25">
      <c r="B50" s="144" t="s">
        <v>73</v>
      </c>
      <c r="C50" s="107">
        <v>-3874</v>
      </c>
      <c r="D50" s="107">
        <v>-6751</v>
      </c>
      <c r="E50" s="107">
        <v>-5865</v>
      </c>
      <c r="F50" s="107">
        <v>-5653</v>
      </c>
      <c r="G50" s="107">
        <v>-6829</v>
      </c>
      <c r="H50" s="107">
        <v>-6832</v>
      </c>
      <c r="I50" s="107">
        <v>-4550</v>
      </c>
      <c r="J50" s="107">
        <v>-6389</v>
      </c>
      <c r="K50" s="107">
        <v>-7612</v>
      </c>
      <c r="L50" s="107">
        <v>-8794</v>
      </c>
      <c r="M50" s="107">
        <v>-9231</v>
      </c>
      <c r="N50" s="107">
        <v>-5602</v>
      </c>
    </row>
    <row r="51" spans="2:14" x14ac:dyDescent="0.25"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2:14" x14ac:dyDescent="0.25">
      <c r="B52" s="145" t="s">
        <v>74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</row>
    <row r="53" spans="2:14" x14ac:dyDescent="0.25">
      <c r="B53" s="115" t="s">
        <v>75</v>
      </c>
      <c r="C53" s="106">
        <v>-2748</v>
      </c>
      <c r="D53" s="106">
        <v>-2247</v>
      </c>
      <c r="E53" s="106">
        <v>-2723</v>
      </c>
      <c r="F53" s="106">
        <v>-2760</v>
      </c>
      <c r="G53" s="106">
        <v>-1998</v>
      </c>
      <c r="H53" s="106">
        <v>-2445</v>
      </c>
      <c r="I53" s="106">
        <v>-3307</v>
      </c>
      <c r="J53" s="106">
        <v>-2107</v>
      </c>
      <c r="K53" s="106">
        <v>-2161</v>
      </c>
      <c r="L53" s="106">
        <v>-2579</v>
      </c>
      <c r="M53" s="106">
        <v>-2201</v>
      </c>
      <c r="N53" s="106">
        <v>-2237</v>
      </c>
    </row>
    <row r="54" spans="2:14" x14ac:dyDescent="0.25">
      <c r="B54" s="115" t="s">
        <v>76</v>
      </c>
      <c r="C54" s="106">
        <v>3</v>
      </c>
      <c r="D54" s="106">
        <v>0</v>
      </c>
      <c r="E54" s="106">
        <v>0</v>
      </c>
      <c r="F54" s="106">
        <v>0</v>
      </c>
      <c r="G54" s="106">
        <v>0</v>
      </c>
      <c r="H54" s="106">
        <v>0</v>
      </c>
      <c r="I54" s="106">
        <v>0</v>
      </c>
      <c r="J54" s="106">
        <v>0</v>
      </c>
      <c r="K54" s="106">
        <v>0</v>
      </c>
      <c r="L54" s="106">
        <v>0</v>
      </c>
      <c r="M54" s="106">
        <v>0</v>
      </c>
      <c r="N54" s="106">
        <v>0</v>
      </c>
    </row>
    <row r="55" spans="2:14" x14ac:dyDescent="0.25">
      <c r="B55" s="115" t="s">
        <v>77</v>
      </c>
      <c r="C55" s="106">
        <v>-25046</v>
      </c>
      <c r="D55" s="106">
        <v>-23923</v>
      </c>
      <c r="E55" s="106">
        <v>-24577</v>
      </c>
      <c r="F55" s="106">
        <v>-66410</v>
      </c>
      <c r="G55" s="106">
        <v>-69159</v>
      </c>
      <c r="H55" s="106">
        <v>-79410</v>
      </c>
      <c r="I55" s="106">
        <v>-37482</v>
      </c>
      <c r="J55" s="106">
        <v>-46738</v>
      </c>
      <c r="K55" s="106">
        <v>-59951</v>
      </c>
      <c r="L55" s="106">
        <v>-75800</v>
      </c>
      <c r="M55" s="106">
        <v>-78118</v>
      </c>
      <c r="N55" s="106">
        <v>-82753</v>
      </c>
    </row>
    <row r="56" spans="2:14" x14ac:dyDescent="0.25">
      <c r="B56" s="115" t="s">
        <v>78</v>
      </c>
      <c r="C56" s="106">
        <v>22385</v>
      </c>
      <c r="D56" s="106">
        <v>25253</v>
      </c>
      <c r="E56" s="106">
        <v>24980</v>
      </c>
      <c r="F56" s="106">
        <v>52048</v>
      </c>
      <c r="G56" s="106">
        <v>74003</v>
      </c>
      <c r="H56" s="106">
        <v>78098</v>
      </c>
      <c r="I56" s="106">
        <v>38861</v>
      </c>
      <c r="J56" s="106">
        <v>40381</v>
      </c>
      <c r="K56" s="106">
        <v>57356</v>
      </c>
      <c r="L56" s="106">
        <v>76722</v>
      </c>
      <c r="M56" s="106">
        <v>72956</v>
      </c>
      <c r="N56" s="106">
        <v>84888</v>
      </c>
    </row>
    <row r="57" spans="2:14" x14ac:dyDescent="0.25">
      <c r="B57" s="115" t="s">
        <v>79</v>
      </c>
      <c r="C57" s="106">
        <v>2379</v>
      </c>
      <c r="D57" s="106">
        <v>2551</v>
      </c>
      <c r="E57" s="106">
        <v>2383</v>
      </c>
      <c r="F57" s="106">
        <v>0</v>
      </c>
      <c r="G57" s="106">
        <v>0</v>
      </c>
      <c r="H57" s="106">
        <v>0</v>
      </c>
      <c r="I57" s="106">
        <v>0</v>
      </c>
      <c r="J57" s="106">
        <v>0</v>
      </c>
      <c r="K57" s="106">
        <v>0</v>
      </c>
      <c r="L57" s="106">
        <v>0</v>
      </c>
      <c r="M57" s="106">
        <v>0</v>
      </c>
      <c r="N57" s="106">
        <v>0</v>
      </c>
    </row>
    <row r="58" spans="2:14" x14ac:dyDescent="0.25">
      <c r="B58" s="115" t="s">
        <v>80</v>
      </c>
      <c r="C58" s="106">
        <v>0</v>
      </c>
      <c r="D58" s="106">
        <v>0</v>
      </c>
      <c r="E58" s="106">
        <v>0</v>
      </c>
      <c r="F58" s="106">
        <v>2753</v>
      </c>
      <c r="G58" s="106">
        <v>1768</v>
      </c>
      <c r="H58" s="106">
        <v>1557</v>
      </c>
      <c r="I58" s="106">
        <v>1929</v>
      </c>
      <c r="J58" s="106">
        <v>1418</v>
      </c>
      <c r="K58" s="106">
        <v>1898</v>
      </c>
      <c r="L58" s="106">
        <v>1525</v>
      </c>
      <c r="M58" s="106">
        <v>1768</v>
      </c>
      <c r="N58" s="106">
        <v>2040</v>
      </c>
    </row>
    <row r="59" spans="2:14" x14ac:dyDescent="0.25">
      <c r="B59" s="115" t="s">
        <v>81</v>
      </c>
      <c r="C59" s="106">
        <v>0</v>
      </c>
      <c r="D59" s="106">
        <v>-1376</v>
      </c>
      <c r="E59" s="106">
        <v>-747</v>
      </c>
      <c r="F59" s="106">
        <v>0</v>
      </c>
      <c r="G59" s="106">
        <v>0</v>
      </c>
      <c r="H59" s="106">
        <v>0</v>
      </c>
      <c r="I59" s="106">
        <v>0</v>
      </c>
      <c r="J59" s="106">
        <v>0</v>
      </c>
      <c r="K59" s="106">
        <v>0</v>
      </c>
      <c r="L59" s="106">
        <v>0</v>
      </c>
      <c r="M59" s="106">
        <v>0</v>
      </c>
      <c r="N59" s="106">
        <v>0</v>
      </c>
    </row>
    <row r="60" spans="2:14" x14ac:dyDescent="0.25">
      <c r="B60" s="115" t="s">
        <v>82</v>
      </c>
      <c r="C60" s="106">
        <v>0</v>
      </c>
      <c r="D60" s="106">
        <v>0</v>
      </c>
      <c r="E60" s="106">
        <v>-142</v>
      </c>
      <c r="F60" s="106">
        <v>-164</v>
      </c>
      <c r="G60" s="106">
        <v>-130</v>
      </c>
      <c r="H60" s="106">
        <v>-24</v>
      </c>
      <c r="I60" s="106">
        <v>-108</v>
      </c>
      <c r="J60" s="106">
        <v>0</v>
      </c>
      <c r="K60" s="106">
        <v>0</v>
      </c>
      <c r="L60" s="106">
        <v>0</v>
      </c>
      <c r="M60" s="106">
        <v>0</v>
      </c>
      <c r="N60" s="106">
        <v>0</v>
      </c>
    </row>
    <row r="61" spans="2:14" x14ac:dyDescent="0.25">
      <c r="B61" s="144" t="s">
        <v>83</v>
      </c>
      <c r="C61" s="107">
        <v>464</v>
      </c>
      <c r="D61" s="107">
        <v>741</v>
      </c>
      <c r="E61" s="107">
        <v>-59</v>
      </c>
      <c r="F61" s="107">
        <v>-131</v>
      </c>
      <c r="G61" s="107">
        <v>49</v>
      </c>
      <c r="H61" s="107">
        <v>1592</v>
      </c>
      <c r="I61" s="107">
        <v>-224</v>
      </c>
      <c r="J61" s="107">
        <v>-327</v>
      </c>
      <c r="K61" s="107">
        <v>-3627</v>
      </c>
      <c r="L61" s="107">
        <v>-939</v>
      </c>
      <c r="M61" s="107">
        <v>502</v>
      </c>
      <c r="N61" s="107">
        <v>-3802</v>
      </c>
    </row>
    <row r="62" spans="2:14" x14ac:dyDescent="0.25">
      <c r="H62" s="12"/>
      <c r="K62" s="12"/>
      <c r="N62" s="12"/>
    </row>
    <row r="63" spans="2:14" x14ac:dyDescent="0.25">
      <c r="B63" s="145" t="s">
        <v>84</v>
      </c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</row>
    <row r="64" spans="2:14" x14ac:dyDescent="0.25">
      <c r="B64" s="115" t="s">
        <v>85</v>
      </c>
      <c r="C64" s="106">
        <v>0</v>
      </c>
      <c r="D64" s="106">
        <v>0</v>
      </c>
      <c r="E64" s="106">
        <v>0</v>
      </c>
      <c r="F64" s="106">
        <v>0</v>
      </c>
      <c r="G64" s="106">
        <v>5</v>
      </c>
      <c r="H64" s="106">
        <v>6</v>
      </c>
      <c r="I64" s="106">
        <v>6</v>
      </c>
      <c r="J64" s="106">
        <v>15</v>
      </c>
      <c r="K64" s="106">
        <v>21</v>
      </c>
      <c r="L64" s="106">
        <v>35</v>
      </c>
      <c r="M64" s="106">
        <v>5</v>
      </c>
      <c r="N64" s="106">
        <v>6</v>
      </c>
    </row>
    <row r="65" spans="2:14" x14ac:dyDescent="0.25">
      <c r="B65" s="115" t="s">
        <v>86</v>
      </c>
      <c r="C65" s="106">
        <v>0</v>
      </c>
      <c r="D65" s="106">
        <v>0</v>
      </c>
      <c r="E65" s="106">
        <v>0</v>
      </c>
      <c r="F65" s="106">
        <v>0</v>
      </c>
      <c r="G65" s="106">
        <v>0</v>
      </c>
      <c r="H65" s="106">
        <v>0</v>
      </c>
      <c r="I65" s="106">
        <v>0</v>
      </c>
      <c r="J65" s="106">
        <v>0</v>
      </c>
      <c r="K65" s="106">
        <v>0</v>
      </c>
      <c r="L65" s="106">
        <v>0</v>
      </c>
      <c r="M65" s="106">
        <v>0</v>
      </c>
      <c r="N65" s="106">
        <v>-985</v>
      </c>
    </row>
    <row r="66" spans="2:14" x14ac:dyDescent="0.25">
      <c r="B66" s="115" t="s">
        <v>87</v>
      </c>
      <c r="C66" s="106">
        <v>-3144</v>
      </c>
      <c r="D66" s="106">
        <v>-4935</v>
      </c>
      <c r="E66" s="106">
        <v>-6813</v>
      </c>
      <c r="F66" s="106">
        <v>-6939</v>
      </c>
      <c r="G66" s="106">
        <v>-7464</v>
      </c>
      <c r="H66" s="106">
        <v>-13705</v>
      </c>
      <c r="I66" s="106">
        <v>-9548</v>
      </c>
      <c r="J66" s="106">
        <v>-9137</v>
      </c>
      <c r="K66" s="106">
        <v>-12731</v>
      </c>
      <c r="L66" s="106">
        <v>-13653</v>
      </c>
      <c r="M66" s="106">
        <v>-14731</v>
      </c>
      <c r="N66" s="106">
        <v>-20289</v>
      </c>
    </row>
    <row r="67" spans="2:14" x14ac:dyDescent="0.25">
      <c r="B67" s="115" t="s">
        <v>88</v>
      </c>
      <c r="C67" s="106">
        <v>0</v>
      </c>
      <c r="D67" s="106">
        <v>0</v>
      </c>
      <c r="E67" s="106">
        <v>0</v>
      </c>
      <c r="F67" s="106">
        <v>0</v>
      </c>
      <c r="G67" s="106">
        <v>0</v>
      </c>
      <c r="H67" s="106">
        <v>0</v>
      </c>
      <c r="I67" s="106">
        <v>-571</v>
      </c>
      <c r="J67" s="106">
        <v>-698</v>
      </c>
      <c r="K67" s="106">
        <v>-915</v>
      </c>
      <c r="L67" s="106">
        <v>-1231</v>
      </c>
      <c r="M67" s="106">
        <v>-2024</v>
      </c>
      <c r="N67" s="106">
        <v>-2355</v>
      </c>
    </row>
    <row r="68" spans="2:14" x14ac:dyDescent="0.25">
      <c r="B68" s="144" t="s">
        <v>89</v>
      </c>
      <c r="C68" s="107">
        <v>0</v>
      </c>
      <c r="D68" s="107">
        <v>0</v>
      </c>
      <c r="E68" s="107">
        <v>0</v>
      </c>
      <c r="F68" s="107">
        <v>0</v>
      </c>
      <c r="G68" s="107">
        <v>-13046</v>
      </c>
      <c r="H68" s="107">
        <v>-813</v>
      </c>
      <c r="I68" s="107">
        <v>-7478</v>
      </c>
      <c r="J68" s="107">
        <v>34</v>
      </c>
      <c r="K68" s="107">
        <v>-11017</v>
      </c>
      <c r="L68" s="107">
        <v>-11846</v>
      </c>
      <c r="M68" s="107">
        <v>-754</v>
      </c>
      <c r="N68" s="107">
        <v>-538</v>
      </c>
    </row>
    <row r="69" spans="2:14" ht="15.75" thickBot="1" x14ac:dyDescent="0.3">
      <c r="B69" s="116" t="s">
        <v>21</v>
      </c>
      <c r="C69" s="118">
        <v>4118</v>
      </c>
      <c r="D69" s="118">
        <v>4417</v>
      </c>
      <c r="E69" s="118">
        <v>2330</v>
      </c>
      <c r="F69" s="118">
        <v>-10072</v>
      </c>
      <c r="G69" s="118">
        <v>-2754</v>
      </c>
      <c r="H69" s="118">
        <v>-303</v>
      </c>
      <c r="I69" s="118">
        <v>-919</v>
      </c>
      <c r="J69" s="118">
        <v>6065</v>
      </c>
      <c r="K69" s="118">
        <v>-7242</v>
      </c>
      <c r="L69" s="118">
        <v>-5299</v>
      </c>
      <c r="M69" s="118">
        <v>2613</v>
      </c>
      <c r="N69" s="118">
        <v>9669</v>
      </c>
    </row>
  </sheetData>
  <pageMargins left="0.7" right="0.7" top="0.75" bottom="0.75" header="0.3" footer="0.3"/>
  <pageSetup scale="6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3DDA-2233-43A1-AD82-DC291E4AC2CF}">
  <sheetPr>
    <tabColor rgb="FF00206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5"/>
  <sheetViews>
    <sheetView zoomScale="120" zoomScaleNormal="120" zoomScalePageLayoutView="120" workbookViewId="0">
      <pane xSplit="1" ySplit="1" topLeftCell="B10" activePane="bottomRight" state="frozen"/>
      <selection activeCell="C4" sqref="C4"/>
      <selection pane="topRight" activeCell="C4" sqref="C4"/>
      <selection pane="bottomLeft" activeCell="C4" sqref="C4"/>
      <selection pane="bottomRight" activeCell="B1" sqref="B1"/>
    </sheetView>
  </sheetViews>
  <sheetFormatPr defaultColWidth="8.85546875" defaultRowHeight="15" x14ac:dyDescent="0.25"/>
  <cols>
    <col min="1" max="1" width="27.7109375" style="3" bestFit="1" customWidth="1"/>
    <col min="2" max="11" width="13.42578125" style="3" bestFit="1" customWidth="1"/>
    <col min="12" max="16384" width="8.85546875" style="3"/>
  </cols>
  <sheetData>
    <row r="1" spans="1:11" s="1" customFormat="1" x14ac:dyDescent="0.25">
      <c r="A1" s="1" t="s">
        <v>0</v>
      </c>
      <c r="B1" s="1" t="s">
        <v>33</v>
      </c>
      <c r="E1" s="162" t="str">
        <f>IF(B2&lt;&gt;B3, "A NEW VERSION OF THE WORKSHEET IS AVAILABLE", "")</f>
        <v/>
      </c>
      <c r="F1" s="162"/>
      <c r="G1" s="162"/>
      <c r="H1" s="162"/>
      <c r="I1" s="162"/>
      <c r="J1" s="162"/>
      <c r="K1" s="162"/>
    </row>
    <row r="2" spans="1:11" x14ac:dyDescent="0.25">
      <c r="A2" s="1" t="s">
        <v>31</v>
      </c>
      <c r="B2" s="3">
        <v>2.1</v>
      </c>
      <c r="E2" s="163" t="s">
        <v>22</v>
      </c>
      <c r="F2" s="163"/>
      <c r="G2" s="163"/>
      <c r="H2" s="163"/>
      <c r="I2" s="163"/>
      <c r="J2" s="163"/>
      <c r="K2" s="163"/>
    </row>
    <row r="3" spans="1:11" x14ac:dyDescent="0.25">
      <c r="A3" s="1" t="s">
        <v>32</v>
      </c>
      <c r="B3" s="3">
        <v>2.1</v>
      </c>
    </row>
    <row r="4" spans="1:11" x14ac:dyDescent="0.25">
      <c r="A4" s="1"/>
    </row>
    <row r="5" spans="1:11" x14ac:dyDescent="0.25">
      <c r="A5" s="1" t="s">
        <v>34</v>
      </c>
    </row>
    <row r="6" spans="1:11" x14ac:dyDescent="0.25">
      <c r="A6" s="3" t="s">
        <v>28</v>
      </c>
      <c r="B6" s="3">
        <f>IF(B9&gt;0, B9/B8, 0)</f>
        <v>405.46678959869985</v>
      </c>
    </row>
    <row r="7" spans="1:11" x14ac:dyDescent="0.25">
      <c r="A7" s="3" t="s">
        <v>17</v>
      </c>
      <c r="B7">
        <v>5</v>
      </c>
    </row>
    <row r="8" spans="1:11" x14ac:dyDescent="0.25">
      <c r="A8" s="3" t="s">
        <v>29</v>
      </c>
      <c r="B8">
        <v>1599.8</v>
      </c>
    </row>
    <row r="9" spans="1:11" x14ac:dyDescent="0.25">
      <c r="A9" s="3" t="s">
        <v>44</v>
      </c>
      <c r="B9">
        <v>648665.77</v>
      </c>
    </row>
    <row r="15" spans="1:11" x14ac:dyDescent="0.25">
      <c r="A15" s="1" t="s">
        <v>23</v>
      </c>
    </row>
    <row r="16" spans="1:11" s="7" customFormat="1" x14ac:dyDescent="0.25">
      <c r="A16" s="6" t="s">
        <v>24</v>
      </c>
      <c r="B16" s="5">
        <v>42460</v>
      </c>
      <c r="C16" s="5">
        <v>42825</v>
      </c>
      <c r="D16" s="5">
        <v>43190</v>
      </c>
      <c r="E16" s="5">
        <v>43555</v>
      </c>
      <c r="F16" s="5">
        <v>43921</v>
      </c>
      <c r="G16" s="5">
        <v>44286</v>
      </c>
      <c r="H16" s="5">
        <v>44651</v>
      </c>
      <c r="I16" s="5">
        <v>45016</v>
      </c>
      <c r="J16" s="5">
        <v>45382</v>
      </c>
      <c r="K16" s="5">
        <v>45747</v>
      </c>
    </row>
    <row r="17" spans="1:11" s="4" customFormat="1" x14ac:dyDescent="0.25">
      <c r="A17" s="4" t="s">
        <v>1</v>
      </c>
      <c r="B17">
        <v>62441</v>
      </c>
      <c r="C17">
        <v>68484</v>
      </c>
      <c r="D17">
        <v>70522</v>
      </c>
      <c r="E17">
        <v>82675</v>
      </c>
      <c r="F17">
        <v>90791</v>
      </c>
      <c r="G17">
        <v>100472</v>
      </c>
      <c r="H17">
        <v>121641</v>
      </c>
      <c r="I17">
        <v>146767</v>
      </c>
      <c r="J17">
        <v>153670</v>
      </c>
      <c r="K17">
        <v>162990</v>
      </c>
    </row>
    <row r="18" spans="1:11" s="4" customFormat="1" x14ac:dyDescent="0.25">
      <c r="A18" s="3" t="s">
        <v>45</v>
      </c>
      <c r="B18"/>
      <c r="C18"/>
      <c r="D18"/>
      <c r="E18"/>
      <c r="F18"/>
      <c r="G18"/>
      <c r="H18"/>
      <c r="I18"/>
      <c r="J18"/>
      <c r="K18"/>
    </row>
    <row r="19" spans="1:11" s="4" customFormat="1" x14ac:dyDescent="0.25">
      <c r="A19" s="3" t="s">
        <v>46</v>
      </c>
      <c r="B19"/>
      <c r="C19"/>
      <c r="D19"/>
      <c r="E19"/>
      <c r="F19"/>
      <c r="G19"/>
      <c r="H19"/>
      <c r="I19"/>
      <c r="J19"/>
      <c r="K19"/>
    </row>
    <row r="20" spans="1:11" s="4" customFormat="1" x14ac:dyDescent="0.25">
      <c r="A20" s="3" t="s">
        <v>47</v>
      </c>
      <c r="B20">
        <v>217</v>
      </c>
      <c r="C20">
        <v>228</v>
      </c>
      <c r="D20">
        <v>207</v>
      </c>
      <c r="E20">
        <v>221</v>
      </c>
      <c r="F20">
        <v>229</v>
      </c>
      <c r="G20">
        <v>143</v>
      </c>
      <c r="H20">
        <v>132</v>
      </c>
      <c r="I20">
        <v>176</v>
      </c>
      <c r="J20">
        <v>199</v>
      </c>
      <c r="K20">
        <v>222</v>
      </c>
    </row>
    <row r="21" spans="1:11" s="4" customFormat="1" x14ac:dyDescent="0.25">
      <c r="A21" s="3" t="s">
        <v>48</v>
      </c>
      <c r="B21">
        <v>5860</v>
      </c>
      <c r="C21">
        <v>6712</v>
      </c>
      <c r="D21">
        <v>7286</v>
      </c>
      <c r="E21">
        <v>9902</v>
      </c>
      <c r="F21">
        <v>11086</v>
      </c>
      <c r="G21">
        <v>12800</v>
      </c>
      <c r="H21">
        <v>20690</v>
      </c>
      <c r="I21">
        <v>26330</v>
      </c>
      <c r="J21">
        <v>27195</v>
      </c>
      <c r="K21">
        <v>30395</v>
      </c>
    </row>
    <row r="22" spans="1:11" s="4" customFormat="1" x14ac:dyDescent="0.25">
      <c r="A22" s="3" t="s">
        <v>49</v>
      </c>
      <c r="B22">
        <v>34415</v>
      </c>
      <c r="C22">
        <v>37669</v>
      </c>
      <c r="D22">
        <v>38902</v>
      </c>
      <c r="E22">
        <v>45323</v>
      </c>
      <c r="F22">
        <v>50895</v>
      </c>
      <c r="G22">
        <v>55547</v>
      </c>
      <c r="H22">
        <v>63997</v>
      </c>
      <c r="I22">
        <v>78374</v>
      </c>
      <c r="J22">
        <v>82636</v>
      </c>
      <c r="K22">
        <v>85968</v>
      </c>
    </row>
    <row r="23" spans="1:11" s="4" customFormat="1" x14ac:dyDescent="0.25">
      <c r="A23" s="3" t="s">
        <v>50</v>
      </c>
      <c r="B23">
        <v>4441</v>
      </c>
      <c r="C23">
        <v>4584</v>
      </c>
      <c r="D23">
        <v>4585</v>
      </c>
      <c r="E23">
        <v>5553</v>
      </c>
      <c r="F23">
        <v>5375</v>
      </c>
      <c r="G23">
        <v>3194</v>
      </c>
      <c r="H23">
        <v>4305</v>
      </c>
      <c r="I23">
        <v>5300</v>
      </c>
      <c r="J23">
        <v>5705</v>
      </c>
      <c r="K23">
        <v>6039</v>
      </c>
    </row>
    <row r="24" spans="1:11" s="4" customFormat="1" x14ac:dyDescent="0.25">
      <c r="A24" s="3" t="s">
        <v>51</v>
      </c>
      <c r="B24">
        <v>429</v>
      </c>
      <c r="C24">
        <v>687</v>
      </c>
      <c r="D24">
        <v>720</v>
      </c>
      <c r="E24">
        <v>1506</v>
      </c>
      <c r="F24">
        <v>939</v>
      </c>
      <c r="G24">
        <v>899</v>
      </c>
      <c r="H24">
        <v>1026</v>
      </c>
      <c r="I24">
        <v>1457</v>
      </c>
      <c r="J24">
        <v>1510</v>
      </c>
      <c r="K24">
        <v>1130</v>
      </c>
    </row>
    <row r="25" spans="1:11" s="4" customFormat="1" x14ac:dyDescent="0.25">
      <c r="A25" s="4" t="s">
        <v>4</v>
      </c>
      <c r="B25">
        <v>3120</v>
      </c>
      <c r="C25">
        <v>3050</v>
      </c>
      <c r="D25">
        <v>3311</v>
      </c>
      <c r="E25">
        <v>2882</v>
      </c>
      <c r="F25">
        <v>2803</v>
      </c>
      <c r="G25">
        <v>2201</v>
      </c>
      <c r="H25">
        <v>2295</v>
      </c>
      <c r="I25">
        <v>2701</v>
      </c>
      <c r="J25">
        <v>4711</v>
      </c>
      <c r="K25">
        <v>3600</v>
      </c>
    </row>
    <row r="26" spans="1:11" s="4" customFormat="1" x14ac:dyDescent="0.25">
      <c r="A26" s="4" t="s">
        <v>5</v>
      </c>
      <c r="B26">
        <v>1459</v>
      </c>
      <c r="C26">
        <v>1703</v>
      </c>
      <c r="D26">
        <v>1863</v>
      </c>
      <c r="E26">
        <v>2011</v>
      </c>
      <c r="F26">
        <v>2893</v>
      </c>
      <c r="G26">
        <v>3267</v>
      </c>
      <c r="H26">
        <v>3476</v>
      </c>
      <c r="I26">
        <v>4225</v>
      </c>
      <c r="J26">
        <v>4678</v>
      </c>
      <c r="K26">
        <v>4812</v>
      </c>
    </row>
    <row r="27" spans="1:11" s="4" customFormat="1" x14ac:dyDescent="0.25">
      <c r="A27" s="4" t="s">
        <v>6</v>
      </c>
      <c r="B27"/>
      <c r="C27"/>
      <c r="D27"/>
      <c r="E27"/>
      <c r="F27">
        <v>170</v>
      </c>
      <c r="G27">
        <v>195</v>
      </c>
      <c r="H27">
        <v>200</v>
      </c>
      <c r="I27">
        <v>284</v>
      </c>
      <c r="J27">
        <v>470</v>
      </c>
      <c r="K27">
        <v>416</v>
      </c>
    </row>
    <row r="28" spans="1:11" s="4" customFormat="1" x14ac:dyDescent="0.25">
      <c r="A28" s="4" t="s">
        <v>7</v>
      </c>
      <c r="B28">
        <v>18740</v>
      </c>
      <c r="C28">
        <v>19951</v>
      </c>
      <c r="D28">
        <v>20270</v>
      </c>
      <c r="E28">
        <v>21041</v>
      </c>
      <c r="F28">
        <v>22007</v>
      </c>
      <c r="G28">
        <v>26628</v>
      </c>
      <c r="H28">
        <v>30110</v>
      </c>
      <c r="I28">
        <v>33322</v>
      </c>
      <c r="J28">
        <v>35988</v>
      </c>
      <c r="K28">
        <v>37608</v>
      </c>
    </row>
    <row r="29" spans="1:11" s="4" customFormat="1" x14ac:dyDescent="0.25">
      <c r="A29" s="4" t="s">
        <v>8</v>
      </c>
      <c r="B29">
        <v>5251</v>
      </c>
      <c r="C29">
        <v>5598</v>
      </c>
      <c r="D29">
        <v>4241</v>
      </c>
      <c r="E29">
        <v>5631</v>
      </c>
      <c r="F29">
        <v>5368</v>
      </c>
      <c r="G29">
        <v>7205</v>
      </c>
      <c r="H29">
        <v>7964</v>
      </c>
      <c r="I29">
        <v>9214</v>
      </c>
      <c r="J29">
        <v>9740</v>
      </c>
      <c r="K29">
        <v>10858</v>
      </c>
    </row>
    <row r="30" spans="1:11" s="4" customFormat="1" x14ac:dyDescent="0.25">
      <c r="A30" s="4" t="s">
        <v>9</v>
      </c>
      <c r="B30">
        <v>13489</v>
      </c>
      <c r="C30">
        <v>14353</v>
      </c>
      <c r="D30">
        <v>16029</v>
      </c>
      <c r="E30">
        <v>15404</v>
      </c>
      <c r="F30">
        <v>16594</v>
      </c>
      <c r="G30">
        <v>19351</v>
      </c>
      <c r="H30">
        <v>22110</v>
      </c>
      <c r="I30">
        <v>24095</v>
      </c>
      <c r="J30">
        <v>26233</v>
      </c>
      <c r="K30">
        <v>26713</v>
      </c>
    </row>
    <row r="31" spans="1:11" s="4" customFormat="1" x14ac:dyDescent="0.25">
      <c r="A31" s="4" t="s">
        <v>35</v>
      </c>
      <c r="B31">
        <v>5548.4</v>
      </c>
      <c r="C31">
        <v>5891.6</v>
      </c>
      <c r="D31">
        <v>9465.6</v>
      </c>
      <c r="E31">
        <v>9222.5</v>
      </c>
      <c r="F31">
        <v>7427</v>
      </c>
      <c r="G31">
        <v>11469.6</v>
      </c>
      <c r="H31">
        <v>13007.6</v>
      </c>
      <c r="I31">
        <v>14069.2</v>
      </c>
      <c r="J31">
        <v>19053.2</v>
      </c>
      <c r="K31">
        <v>17827.8</v>
      </c>
    </row>
    <row r="32" spans="1:11" s="4" customFormat="1" x14ac:dyDescent="0.25"/>
    <row r="33" spans="1:11" x14ac:dyDescent="0.25">
      <c r="A33" s="4" t="s">
        <v>62</v>
      </c>
      <c r="B33" s="3">
        <f>B30+B29+B27+B26</f>
        <v>20199</v>
      </c>
      <c r="C33" s="3">
        <f t="shared" ref="C33:K33" si="0">C30+C29+C27+C26</f>
        <v>21654</v>
      </c>
      <c r="D33" s="3">
        <f t="shared" si="0"/>
        <v>22133</v>
      </c>
      <c r="E33" s="3">
        <f t="shared" si="0"/>
        <v>23046</v>
      </c>
      <c r="F33" s="3">
        <f t="shared" si="0"/>
        <v>25025</v>
      </c>
      <c r="G33" s="3">
        <f t="shared" si="0"/>
        <v>30018</v>
      </c>
      <c r="H33" s="3">
        <f t="shared" si="0"/>
        <v>33750</v>
      </c>
      <c r="I33" s="3">
        <f t="shared" si="0"/>
        <v>37818</v>
      </c>
      <c r="J33" s="3">
        <f t="shared" si="0"/>
        <v>41121</v>
      </c>
      <c r="K33" s="3">
        <f t="shared" si="0"/>
        <v>42799</v>
      </c>
    </row>
    <row r="34" spans="1:11" x14ac:dyDescent="0.25">
      <c r="A34" s="4"/>
    </row>
    <row r="35" spans="1:11" x14ac:dyDescent="0.25">
      <c r="A35" s="4"/>
    </row>
    <row r="36" spans="1:11" x14ac:dyDescent="0.25">
      <c r="A36" s="4"/>
    </row>
    <row r="37" spans="1:11" x14ac:dyDescent="0.25">
      <c r="A37" s="4"/>
    </row>
    <row r="38" spans="1:11" x14ac:dyDescent="0.25">
      <c r="A38" s="4"/>
    </row>
    <row r="39" spans="1:11" x14ac:dyDescent="0.25">
      <c r="A39" s="4"/>
    </row>
    <row r="40" spans="1:11" x14ac:dyDescent="0.25">
      <c r="A40" s="1" t="s">
        <v>25</v>
      </c>
    </row>
    <row r="41" spans="1:11" s="7" customFormat="1" x14ac:dyDescent="0.25">
      <c r="A41" s="6" t="s">
        <v>24</v>
      </c>
      <c r="B41" s="5">
        <v>45199</v>
      </c>
      <c r="C41" s="5">
        <v>45291</v>
      </c>
      <c r="D41" s="5">
        <v>45382</v>
      </c>
      <c r="E41" s="5">
        <v>45473</v>
      </c>
      <c r="F41" s="5">
        <v>45565</v>
      </c>
      <c r="G41" s="5">
        <v>45657</v>
      </c>
      <c r="H41" s="5">
        <v>45747</v>
      </c>
      <c r="I41" s="5">
        <v>45838</v>
      </c>
      <c r="J41" s="5">
        <v>45930</v>
      </c>
      <c r="K41" s="5">
        <v>46022</v>
      </c>
    </row>
    <row r="42" spans="1:11" s="4" customFormat="1" x14ac:dyDescent="0.25">
      <c r="A42" s="4" t="s">
        <v>1</v>
      </c>
      <c r="B42">
        <v>38994</v>
      </c>
      <c r="C42">
        <v>38821</v>
      </c>
      <c r="D42">
        <v>37923</v>
      </c>
      <c r="E42">
        <v>39315</v>
      </c>
      <c r="F42">
        <v>40986</v>
      </c>
      <c r="G42">
        <v>41764</v>
      </c>
      <c r="H42">
        <v>40925</v>
      </c>
      <c r="I42">
        <v>42279</v>
      </c>
      <c r="J42">
        <v>44490</v>
      </c>
      <c r="K42">
        <v>45479</v>
      </c>
    </row>
    <row r="43" spans="1:11" s="4" customFormat="1" x14ac:dyDescent="0.25">
      <c r="A43" s="4" t="s">
        <v>2</v>
      </c>
      <c r="B43">
        <v>29554</v>
      </c>
      <c r="C43">
        <v>29684</v>
      </c>
      <c r="D43">
        <v>29139</v>
      </c>
      <c r="E43">
        <v>29878</v>
      </c>
      <c r="F43">
        <v>31177</v>
      </c>
      <c r="G43">
        <v>31649</v>
      </c>
      <c r="H43">
        <v>31051</v>
      </c>
      <c r="I43">
        <v>32336</v>
      </c>
      <c r="J43">
        <v>33955</v>
      </c>
      <c r="K43">
        <v>34845</v>
      </c>
    </row>
    <row r="44" spans="1:11" s="4" customFormat="1" x14ac:dyDescent="0.25">
      <c r="A44" s="4" t="s">
        <v>4</v>
      </c>
      <c r="B44">
        <v>632</v>
      </c>
      <c r="C44">
        <v>789</v>
      </c>
      <c r="D44">
        <v>2729</v>
      </c>
      <c r="E44">
        <v>838</v>
      </c>
      <c r="F44">
        <v>712</v>
      </c>
      <c r="G44">
        <v>859</v>
      </c>
      <c r="H44">
        <v>1190</v>
      </c>
      <c r="I44">
        <v>1042</v>
      </c>
      <c r="J44">
        <v>982</v>
      </c>
      <c r="K44">
        <v>-150</v>
      </c>
    </row>
    <row r="45" spans="1:11" s="4" customFormat="1" x14ac:dyDescent="0.25">
      <c r="A45" s="4" t="s">
        <v>5</v>
      </c>
      <c r="B45">
        <v>1166</v>
      </c>
      <c r="C45">
        <v>1176</v>
      </c>
      <c r="D45">
        <v>1163</v>
      </c>
      <c r="E45">
        <v>1149</v>
      </c>
      <c r="F45">
        <v>1160</v>
      </c>
      <c r="G45">
        <v>1203</v>
      </c>
      <c r="H45">
        <v>1299</v>
      </c>
      <c r="I45">
        <v>1140</v>
      </c>
      <c r="J45">
        <v>1182</v>
      </c>
      <c r="K45">
        <v>1155</v>
      </c>
    </row>
    <row r="46" spans="1:11" s="4" customFormat="1" x14ac:dyDescent="0.25">
      <c r="A46" s="4" t="s">
        <v>6</v>
      </c>
      <c r="B46">
        <v>138</v>
      </c>
      <c r="C46">
        <v>131</v>
      </c>
      <c r="D46">
        <v>110</v>
      </c>
      <c r="E46">
        <v>105</v>
      </c>
      <c r="F46">
        <v>108</v>
      </c>
      <c r="G46">
        <v>101</v>
      </c>
      <c r="H46">
        <v>102</v>
      </c>
      <c r="I46">
        <v>105</v>
      </c>
      <c r="J46">
        <v>106</v>
      </c>
      <c r="K46">
        <v>100</v>
      </c>
    </row>
    <row r="47" spans="1:11" s="4" customFormat="1" x14ac:dyDescent="0.25">
      <c r="A47" s="4" t="s">
        <v>7</v>
      </c>
      <c r="B47">
        <v>8768</v>
      </c>
      <c r="C47">
        <v>8619</v>
      </c>
      <c r="D47">
        <v>10240</v>
      </c>
      <c r="E47">
        <v>9021</v>
      </c>
      <c r="F47">
        <v>9253</v>
      </c>
      <c r="G47">
        <v>9670</v>
      </c>
      <c r="H47">
        <v>9663</v>
      </c>
      <c r="I47">
        <v>9740</v>
      </c>
      <c r="J47">
        <v>10229</v>
      </c>
      <c r="K47">
        <v>9229</v>
      </c>
    </row>
    <row r="48" spans="1:11" s="4" customFormat="1" x14ac:dyDescent="0.25">
      <c r="A48" s="4" t="s">
        <v>8</v>
      </c>
      <c r="B48">
        <v>2553</v>
      </c>
      <c r="C48">
        <v>2506</v>
      </c>
      <c r="D48">
        <v>2265</v>
      </c>
      <c r="E48">
        <v>2647</v>
      </c>
      <c r="F48">
        <v>2737</v>
      </c>
      <c r="G48">
        <v>2848</v>
      </c>
      <c r="H48">
        <v>2625</v>
      </c>
      <c r="I48">
        <v>2816</v>
      </c>
      <c r="J48">
        <v>2854</v>
      </c>
      <c r="K48">
        <v>2563</v>
      </c>
    </row>
    <row r="49" spans="1:11" s="4" customFormat="1" x14ac:dyDescent="0.25">
      <c r="A49" s="4" t="s">
        <v>9</v>
      </c>
      <c r="B49">
        <v>6212</v>
      </c>
      <c r="C49">
        <v>6106</v>
      </c>
      <c r="D49">
        <v>7969</v>
      </c>
      <c r="E49">
        <v>6368</v>
      </c>
      <c r="F49">
        <v>6506</v>
      </c>
      <c r="G49">
        <v>6806</v>
      </c>
      <c r="H49">
        <v>7033</v>
      </c>
      <c r="I49">
        <v>6921</v>
      </c>
      <c r="J49">
        <v>7364</v>
      </c>
      <c r="K49">
        <v>6654</v>
      </c>
    </row>
    <row r="50" spans="1:11" x14ac:dyDescent="0.25">
      <c r="A50" s="4" t="s">
        <v>3</v>
      </c>
      <c r="B50">
        <v>9440</v>
      </c>
      <c r="C50">
        <v>9137</v>
      </c>
      <c r="D50">
        <v>8784</v>
      </c>
      <c r="E50">
        <v>9437</v>
      </c>
      <c r="F50">
        <v>9809</v>
      </c>
      <c r="G50">
        <v>10115</v>
      </c>
      <c r="H50">
        <v>9874</v>
      </c>
      <c r="I50">
        <v>9943</v>
      </c>
      <c r="J50">
        <v>10535</v>
      </c>
      <c r="K50">
        <v>10634</v>
      </c>
    </row>
    <row r="51" spans="1:11" x14ac:dyDescent="0.25">
      <c r="A51" s="4"/>
    </row>
    <row r="52" spans="1:11" x14ac:dyDescent="0.25">
      <c r="A52" s="4"/>
    </row>
    <row r="53" spans="1:11" x14ac:dyDescent="0.25">
      <c r="A53" s="4"/>
    </row>
    <row r="54" spans="1:11" x14ac:dyDescent="0.25">
      <c r="A54" s="4"/>
    </row>
    <row r="55" spans="1:11" x14ac:dyDescent="0.25">
      <c r="A55" s="1" t="s">
        <v>26</v>
      </c>
    </row>
    <row r="56" spans="1:11" s="7" customFormat="1" x14ac:dyDescent="0.25">
      <c r="A56" s="6" t="s">
        <v>24</v>
      </c>
      <c r="B56" s="5">
        <v>42460</v>
      </c>
      <c r="C56" s="5">
        <v>42825</v>
      </c>
      <c r="D56" s="5">
        <v>43190</v>
      </c>
      <c r="E56" s="5">
        <v>43555</v>
      </c>
      <c r="F56" s="5">
        <v>43921</v>
      </c>
      <c r="G56" s="5">
        <v>44286</v>
      </c>
      <c r="H56" s="5">
        <v>44651</v>
      </c>
      <c r="I56" s="5">
        <v>45016</v>
      </c>
      <c r="J56" s="5">
        <v>45382</v>
      </c>
      <c r="K56" s="5">
        <v>45747</v>
      </c>
    </row>
    <row r="57" spans="1:11" x14ac:dyDescent="0.25">
      <c r="A57" s="4" t="s">
        <v>11</v>
      </c>
      <c r="B57">
        <v>1144</v>
      </c>
      <c r="C57">
        <v>1144</v>
      </c>
      <c r="D57">
        <v>1088</v>
      </c>
      <c r="E57">
        <v>2170</v>
      </c>
      <c r="F57">
        <v>2122</v>
      </c>
      <c r="G57">
        <v>2124</v>
      </c>
      <c r="H57">
        <v>2098</v>
      </c>
      <c r="I57">
        <v>2069</v>
      </c>
      <c r="J57">
        <v>2071</v>
      </c>
      <c r="K57">
        <v>2073</v>
      </c>
    </row>
    <row r="58" spans="1:11" x14ac:dyDescent="0.25">
      <c r="A58" s="4" t="s">
        <v>12</v>
      </c>
      <c r="B58">
        <v>60600</v>
      </c>
      <c r="C58">
        <v>67838</v>
      </c>
      <c r="D58">
        <v>63835</v>
      </c>
      <c r="E58">
        <v>62778</v>
      </c>
      <c r="F58">
        <v>63328</v>
      </c>
      <c r="G58">
        <v>74227</v>
      </c>
      <c r="H58">
        <v>73252</v>
      </c>
      <c r="I58">
        <v>73338</v>
      </c>
      <c r="J58">
        <v>86045</v>
      </c>
      <c r="K58">
        <v>93745</v>
      </c>
    </row>
    <row r="59" spans="1:11" x14ac:dyDescent="0.25">
      <c r="A59" s="4" t="s">
        <v>36</v>
      </c>
      <c r="B59"/>
      <c r="C59"/>
      <c r="D59"/>
      <c r="E59"/>
      <c r="F59">
        <v>4633</v>
      </c>
      <c r="G59">
        <v>5325</v>
      </c>
      <c r="H59">
        <v>5474</v>
      </c>
      <c r="I59">
        <v>8299</v>
      </c>
      <c r="J59">
        <v>8359</v>
      </c>
      <c r="K59">
        <v>8227</v>
      </c>
    </row>
    <row r="60" spans="1:11" x14ac:dyDescent="0.25">
      <c r="A60" s="4" t="s">
        <v>37</v>
      </c>
      <c r="B60">
        <v>13354</v>
      </c>
      <c r="C60">
        <v>14166</v>
      </c>
      <c r="D60">
        <v>14426</v>
      </c>
      <c r="E60">
        <v>19118</v>
      </c>
      <c r="F60">
        <v>21717</v>
      </c>
      <c r="G60">
        <v>25835</v>
      </c>
      <c r="H60">
        <v>35905</v>
      </c>
      <c r="I60">
        <v>40890</v>
      </c>
      <c r="J60">
        <v>40885</v>
      </c>
      <c r="K60">
        <v>43750</v>
      </c>
    </row>
    <row r="61" spans="1:11" s="1" customFormat="1" x14ac:dyDescent="0.25">
      <c r="A61" s="1" t="s">
        <v>13</v>
      </c>
      <c r="B61">
        <v>75098</v>
      </c>
      <c r="C61">
        <v>83148</v>
      </c>
      <c r="D61">
        <v>79349</v>
      </c>
      <c r="E61">
        <v>84066</v>
      </c>
      <c r="F61">
        <v>91800</v>
      </c>
      <c r="G61">
        <v>107511</v>
      </c>
      <c r="H61">
        <v>116729</v>
      </c>
      <c r="I61">
        <v>124596</v>
      </c>
      <c r="J61">
        <v>137360</v>
      </c>
      <c r="K61">
        <v>147795</v>
      </c>
    </row>
    <row r="62" spans="1:11" x14ac:dyDescent="0.25">
      <c r="A62" s="4" t="s">
        <v>14</v>
      </c>
      <c r="B62">
        <v>13386</v>
      </c>
      <c r="C62">
        <v>14179</v>
      </c>
      <c r="D62">
        <v>12574</v>
      </c>
      <c r="E62">
        <v>15710</v>
      </c>
      <c r="F62">
        <v>23789</v>
      </c>
      <c r="G62">
        <v>25505</v>
      </c>
      <c r="H62">
        <v>25800</v>
      </c>
      <c r="I62">
        <v>29225</v>
      </c>
      <c r="J62">
        <v>27622</v>
      </c>
      <c r="K62">
        <v>30961</v>
      </c>
    </row>
    <row r="63" spans="1:11" x14ac:dyDescent="0.25">
      <c r="A63" s="4" t="s">
        <v>15</v>
      </c>
      <c r="B63">
        <v>960</v>
      </c>
      <c r="C63">
        <v>1365</v>
      </c>
      <c r="D63">
        <v>1606</v>
      </c>
      <c r="E63">
        <v>1388</v>
      </c>
      <c r="F63">
        <v>954</v>
      </c>
      <c r="G63">
        <v>922</v>
      </c>
      <c r="H63">
        <v>416</v>
      </c>
      <c r="I63">
        <v>288</v>
      </c>
      <c r="J63">
        <v>293</v>
      </c>
      <c r="K63">
        <v>814</v>
      </c>
    </row>
    <row r="64" spans="1:11" x14ac:dyDescent="0.25">
      <c r="A64" s="4" t="s">
        <v>16</v>
      </c>
      <c r="B64">
        <v>1892</v>
      </c>
      <c r="C64">
        <v>16423</v>
      </c>
      <c r="D64">
        <v>12163</v>
      </c>
      <c r="E64">
        <v>11261</v>
      </c>
      <c r="F64">
        <v>8792</v>
      </c>
      <c r="G64">
        <v>14205</v>
      </c>
      <c r="H64">
        <v>20324</v>
      </c>
      <c r="I64">
        <v>19478</v>
      </c>
      <c r="J64">
        <v>24623</v>
      </c>
      <c r="K64">
        <v>23541</v>
      </c>
    </row>
    <row r="65" spans="1:11" x14ac:dyDescent="0.25">
      <c r="A65" s="4" t="s">
        <v>38</v>
      </c>
      <c r="B65">
        <v>58860</v>
      </c>
      <c r="C65">
        <v>51181</v>
      </c>
      <c r="D65">
        <v>53006</v>
      </c>
      <c r="E65">
        <v>55707</v>
      </c>
      <c r="F65">
        <v>58265</v>
      </c>
      <c r="G65">
        <v>66879</v>
      </c>
      <c r="H65">
        <v>70189</v>
      </c>
      <c r="I65">
        <v>75605</v>
      </c>
      <c r="J65">
        <v>84822</v>
      </c>
      <c r="K65">
        <v>92479</v>
      </c>
    </row>
    <row r="66" spans="1:11" s="1" customFormat="1" x14ac:dyDescent="0.25">
      <c r="A66" s="1" t="s">
        <v>13</v>
      </c>
      <c r="B66">
        <v>75098</v>
      </c>
      <c r="C66">
        <v>83148</v>
      </c>
      <c r="D66">
        <v>79349</v>
      </c>
      <c r="E66">
        <v>84066</v>
      </c>
      <c r="F66">
        <v>91800</v>
      </c>
      <c r="G66">
        <v>107511</v>
      </c>
      <c r="H66">
        <v>116729</v>
      </c>
      <c r="I66">
        <v>124596</v>
      </c>
      <c r="J66">
        <v>137360</v>
      </c>
      <c r="K66">
        <v>147795</v>
      </c>
    </row>
    <row r="67" spans="1:11" s="4" customFormat="1" x14ac:dyDescent="0.25">
      <c r="A67" s="4" t="s">
        <v>43</v>
      </c>
      <c r="B67">
        <v>11330</v>
      </c>
      <c r="C67">
        <v>12322</v>
      </c>
      <c r="D67">
        <v>13142</v>
      </c>
      <c r="E67">
        <v>14827</v>
      </c>
      <c r="F67">
        <v>18487</v>
      </c>
      <c r="G67">
        <v>19294</v>
      </c>
      <c r="H67">
        <v>22698</v>
      </c>
      <c r="I67">
        <v>25424</v>
      </c>
      <c r="J67">
        <v>30193</v>
      </c>
      <c r="K67">
        <v>31158</v>
      </c>
    </row>
    <row r="68" spans="1:11" x14ac:dyDescent="0.25">
      <c r="A68" s="4" t="s">
        <v>30</v>
      </c>
      <c r="B68"/>
      <c r="C68"/>
      <c r="D68"/>
      <c r="E68"/>
      <c r="F68"/>
      <c r="G68"/>
      <c r="H68"/>
      <c r="I68"/>
      <c r="J68"/>
      <c r="K68"/>
    </row>
    <row r="69" spans="1:11" x14ac:dyDescent="0.25">
      <c r="A69" s="3" t="s">
        <v>52</v>
      </c>
      <c r="B69">
        <v>32697</v>
      </c>
      <c r="C69">
        <v>22625</v>
      </c>
      <c r="D69">
        <v>19818</v>
      </c>
      <c r="E69">
        <v>19568</v>
      </c>
      <c r="F69">
        <v>18649</v>
      </c>
      <c r="G69">
        <v>24714</v>
      </c>
      <c r="H69">
        <v>17472</v>
      </c>
      <c r="I69">
        <v>12173</v>
      </c>
      <c r="J69">
        <v>14786</v>
      </c>
      <c r="K69">
        <v>24455</v>
      </c>
    </row>
    <row r="70" spans="1:11" x14ac:dyDescent="0.25">
      <c r="A70" s="3" t="s">
        <v>39</v>
      </c>
      <c r="B70">
        <v>2285621088</v>
      </c>
      <c r="C70">
        <v>2285655150</v>
      </c>
      <c r="D70">
        <v>2173312301</v>
      </c>
      <c r="E70">
        <v>4335954462</v>
      </c>
      <c r="F70">
        <v>4240753210</v>
      </c>
      <c r="G70">
        <v>4245146114</v>
      </c>
      <c r="H70">
        <v>4193012929</v>
      </c>
      <c r="I70">
        <v>4136387925</v>
      </c>
      <c r="J70">
        <v>4139950635</v>
      </c>
      <c r="K70">
        <v>4143607528</v>
      </c>
    </row>
    <row r="71" spans="1:11" x14ac:dyDescent="0.25">
      <c r="A71" s="3" t="s">
        <v>40</v>
      </c>
      <c r="B71">
        <v>1148472332</v>
      </c>
      <c r="E71">
        <v>2184191490</v>
      </c>
    </row>
    <row r="72" spans="1:11" x14ac:dyDescent="0.25">
      <c r="A72" s="3" t="s">
        <v>53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25">
      <c r="A74" s="4" t="s">
        <v>38</v>
      </c>
      <c r="B74" s="3">
        <f>B65-SUM(B67:B69)</f>
        <v>14833</v>
      </c>
      <c r="C74" s="3">
        <f t="shared" ref="C74:J74" si="1">C65-SUM(C67:C69)</f>
        <v>16234</v>
      </c>
      <c r="D74" s="3">
        <f t="shared" si="1"/>
        <v>20046</v>
      </c>
      <c r="E74" s="3">
        <f t="shared" si="1"/>
        <v>21312</v>
      </c>
      <c r="F74" s="3">
        <f t="shared" si="1"/>
        <v>21129</v>
      </c>
      <c r="G74" s="3">
        <f t="shared" si="1"/>
        <v>22871</v>
      </c>
      <c r="H74" s="3">
        <f t="shared" si="1"/>
        <v>30019</v>
      </c>
      <c r="I74" s="3">
        <f t="shared" si="1"/>
        <v>38008</v>
      </c>
      <c r="J74" s="3">
        <f t="shared" si="1"/>
        <v>39843</v>
      </c>
      <c r="K74" s="3">
        <f>K65-SUM(K67:K69)</f>
        <v>36866</v>
      </c>
    </row>
    <row r="76" spans="1:11" x14ac:dyDescent="0.25">
      <c r="A76" s="4" t="s">
        <v>107</v>
      </c>
      <c r="B76">
        <f>B61</f>
        <v>75098</v>
      </c>
      <c r="C76">
        <f t="shared" ref="C76:K76" si="2">C61</f>
        <v>83148</v>
      </c>
      <c r="D76">
        <f t="shared" si="2"/>
        <v>79349</v>
      </c>
      <c r="E76">
        <f t="shared" si="2"/>
        <v>84066</v>
      </c>
      <c r="F76">
        <f t="shared" si="2"/>
        <v>91800</v>
      </c>
      <c r="G76">
        <f t="shared" si="2"/>
        <v>107511</v>
      </c>
      <c r="H76">
        <f t="shared" si="2"/>
        <v>116729</v>
      </c>
      <c r="I76">
        <f t="shared" si="2"/>
        <v>124596</v>
      </c>
      <c r="J76">
        <f t="shared" si="2"/>
        <v>137360</v>
      </c>
      <c r="K76">
        <f t="shared" si="2"/>
        <v>147795</v>
      </c>
    </row>
    <row r="77" spans="1:11" x14ac:dyDescent="0.25">
      <c r="A77" s="4"/>
    </row>
    <row r="78" spans="1:11" x14ac:dyDescent="0.25">
      <c r="A78" s="4"/>
    </row>
    <row r="79" spans="1:11" x14ac:dyDescent="0.25">
      <c r="A79" s="4"/>
    </row>
    <row r="80" spans="1:11" x14ac:dyDescent="0.25">
      <c r="A80" s="4"/>
    </row>
    <row r="81" spans="1:11" x14ac:dyDescent="0.25">
      <c r="A81" s="4"/>
    </row>
    <row r="82" spans="1:11" x14ac:dyDescent="0.25">
      <c r="A82" s="1" t="s">
        <v>27</v>
      </c>
    </row>
    <row r="83" spans="1:11" s="7" customFormat="1" x14ac:dyDescent="0.25">
      <c r="A83" s="6" t="s">
        <v>24</v>
      </c>
      <c r="B83" s="5">
        <v>42460</v>
      </c>
      <c r="C83" s="5">
        <v>42825</v>
      </c>
      <c r="D83" s="5">
        <v>43190</v>
      </c>
      <c r="E83" s="5">
        <v>43555</v>
      </c>
      <c r="F83" s="5">
        <v>43921</v>
      </c>
      <c r="G83" s="5">
        <v>44286</v>
      </c>
      <c r="H83" s="5">
        <v>44651</v>
      </c>
      <c r="I83" s="5">
        <v>45016</v>
      </c>
      <c r="J83" s="5">
        <v>45382</v>
      </c>
      <c r="K83" s="5">
        <v>45747</v>
      </c>
    </row>
    <row r="84" spans="1:11" s="1" customFormat="1" x14ac:dyDescent="0.25">
      <c r="A84" s="4" t="s">
        <v>18</v>
      </c>
      <c r="B84">
        <v>10028</v>
      </c>
      <c r="C84">
        <v>11531</v>
      </c>
      <c r="D84">
        <v>13218</v>
      </c>
      <c r="E84">
        <v>14841</v>
      </c>
      <c r="F84">
        <v>17003</v>
      </c>
      <c r="G84">
        <v>23224</v>
      </c>
      <c r="H84">
        <v>23885</v>
      </c>
      <c r="I84">
        <v>22467</v>
      </c>
      <c r="J84">
        <v>25210</v>
      </c>
      <c r="K84">
        <v>35694</v>
      </c>
    </row>
    <row r="85" spans="1:11" s="4" customFormat="1" x14ac:dyDescent="0.25">
      <c r="A85" s="4" t="s">
        <v>19</v>
      </c>
      <c r="B85">
        <v>-885</v>
      </c>
      <c r="C85">
        <v>-14664</v>
      </c>
      <c r="D85">
        <v>4533</v>
      </c>
      <c r="E85">
        <v>-632</v>
      </c>
      <c r="F85">
        <v>-331</v>
      </c>
      <c r="G85">
        <v>-7373</v>
      </c>
      <c r="H85">
        <v>-6485</v>
      </c>
      <c r="I85">
        <v>-1071</v>
      </c>
      <c r="J85">
        <v>-5093</v>
      </c>
      <c r="K85">
        <v>-1864</v>
      </c>
    </row>
    <row r="86" spans="1:11" s="4" customFormat="1" x14ac:dyDescent="0.25">
      <c r="A86" s="4" t="s">
        <v>20</v>
      </c>
      <c r="B86">
        <v>-6813</v>
      </c>
      <c r="C86">
        <v>-6939</v>
      </c>
      <c r="D86">
        <v>-20505</v>
      </c>
      <c r="E86">
        <v>-14512</v>
      </c>
      <c r="F86">
        <v>-17591</v>
      </c>
      <c r="G86">
        <v>-9786</v>
      </c>
      <c r="H86">
        <v>-24642</v>
      </c>
      <c r="I86">
        <v>-26695</v>
      </c>
      <c r="J86">
        <v>-17504</v>
      </c>
      <c r="K86">
        <v>-24161</v>
      </c>
    </row>
    <row r="87" spans="1:11" s="1" customFormat="1" x14ac:dyDescent="0.25">
      <c r="A87" s="4" t="s">
        <v>21</v>
      </c>
      <c r="B87">
        <v>2330</v>
      </c>
      <c r="C87">
        <v>-10072</v>
      </c>
      <c r="D87">
        <v>-2754</v>
      </c>
      <c r="E87">
        <v>-303</v>
      </c>
      <c r="F87">
        <v>-919</v>
      </c>
      <c r="G87">
        <v>6065</v>
      </c>
      <c r="H87">
        <v>-7242</v>
      </c>
      <c r="I87">
        <v>-5299</v>
      </c>
      <c r="J87">
        <v>2613</v>
      </c>
      <c r="K87">
        <v>9669</v>
      </c>
    </row>
    <row r="88" spans="1:11" x14ac:dyDescent="0.25">
      <c r="A88" s="4"/>
    </row>
    <row r="89" spans="1:11" x14ac:dyDescent="0.25">
      <c r="A89" s="4"/>
    </row>
    <row r="90" spans="1:11" x14ac:dyDescent="0.25">
      <c r="A90" s="4"/>
    </row>
    <row r="91" spans="1:11" x14ac:dyDescent="0.25">
      <c r="A91" s="4"/>
    </row>
    <row r="92" spans="1:11" s="1" customFormat="1" x14ac:dyDescent="0.25">
      <c r="A92" s="1" t="s">
        <v>42</v>
      </c>
      <c r="B92">
        <v>609.15</v>
      </c>
      <c r="C92">
        <v>511.13</v>
      </c>
      <c r="D92">
        <v>565.9</v>
      </c>
      <c r="E92">
        <v>743.85</v>
      </c>
      <c r="F92">
        <v>641.5</v>
      </c>
      <c r="G92">
        <v>1368.05</v>
      </c>
      <c r="H92">
        <v>1906.85</v>
      </c>
      <c r="I92">
        <v>1427.95</v>
      </c>
      <c r="J92">
        <v>1498.05</v>
      </c>
      <c r="K92">
        <v>1570.65</v>
      </c>
    </row>
    <row r="94" spans="1:11" s="1" customFormat="1" x14ac:dyDescent="0.25">
      <c r="A94" s="1" t="s">
        <v>41</v>
      </c>
    </row>
    <row r="95" spans="1:11" x14ac:dyDescent="0.25">
      <c r="A95" s="3" t="s">
        <v>54</v>
      </c>
      <c r="B95" s="8">
        <v>459.39</v>
      </c>
      <c r="C95" s="8">
        <v>459.39</v>
      </c>
      <c r="D95" s="8">
        <v>436.82</v>
      </c>
      <c r="E95" s="8">
        <v>436.89</v>
      </c>
      <c r="F95" s="8">
        <v>425.9</v>
      </c>
      <c r="G95" s="8">
        <v>426.07</v>
      </c>
      <c r="H95" s="8">
        <v>420.67</v>
      </c>
      <c r="I95" s="8">
        <v>414.86</v>
      </c>
      <c r="J95" s="8">
        <v>415.09</v>
      </c>
      <c r="K95" s="8">
        <v>415.33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Financials&gt;</vt:lpstr>
      <vt:lpstr>HistoricalFS</vt:lpstr>
      <vt:lpstr>Ratio Analysis</vt:lpstr>
      <vt:lpstr>Forecasting</vt:lpstr>
      <vt:lpstr>Common Size Statement</vt:lpstr>
      <vt:lpstr>DCF&gt;</vt:lpstr>
      <vt:lpstr>WACC</vt:lpstr>
      <vt:lpstr>Intrisic Growth</vt:lpstr>
      <vt:lpstr>DCF</vt:lpstr>
      <vt:lpstr>DCF Data&gt;</vt:lpstr>
      <vt:lpstr>Bata - Regression</vt:lpstr>
      <vt:lpstr>Rm</vt:lpstr>
      <vt:lpstr>Beta Comps</vt:lpstr>
      <vt:lpstr>Data DCF</vt:lpstr>
      <vt:lpstr>Cash Flow Data</vt:lpstr>
      <vt:lpstr>Raw FS</vt:lpstr>
      <vt:lpstr>Data Room&gt;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Saksham Raj</cp:lastModifiedBy>
  <cp:lastPrinted>2026-02-26T06:21:24Z</cp:lastPrinted>
  <dcterms:created xsi:type="dcterms:W3CDTF">2012-08-17T09:55:37Z</dcterms:created>
  <dcterms:modified xsi:type="dcterms:W3CDTF">2026-06-13T09:28:23Z</dcterms:modified>
</cp:coreProperties>
</file>